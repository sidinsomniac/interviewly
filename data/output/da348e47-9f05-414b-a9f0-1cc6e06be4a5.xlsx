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<sst xmlns="http://schemas.openxmlformats.org/spreadsheetml/2006/main" count="323" uniqueCount="202">
  <si>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</si>
  <si>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</si>
  <si>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</si>
  <si>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</si>
  <si>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</si>
  <si>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</si>
  <si>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</si>
  <si>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</si>
  <si>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</si>
  <si>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</si>
  <si>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</si>
  <si>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</si>
  <si>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</si>
  <si>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</si>
  <si>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</si>
  <si>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</si>
  <si>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</si>
  <si>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</si>
  <si>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</si>
  <si>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</si>
  <si>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</si>
  <si>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</si>
  <si>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</si>
  <si>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</si>
  <si>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</si>
  <si>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</si>
  <si>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</si>
  <si>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</si>
  <si>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</si>
  <si>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</si>
  <si>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</si>
  <si>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</si>
  <si>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</si>
  <si>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</si>
  <si>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</si>
  <si>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</si>
  <si>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</si>
  <si>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</si>
  <si>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</si>
  <si>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</si>
  <si>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</si>
  <si>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</si>
  <si>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</si>
  <si>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</si>
  <si>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</si>
  <si>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</si>
  <si>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</si>
  <si>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</si>
  <si>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</si>
  <si>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</si>
  <si>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</si>
  <si>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</si>
  <si>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</si>
  <si>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</si>
  <si>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</si>
  <si>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</si>
  <si>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</si>
  <si>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</si>
  <si>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</si>
  <si>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</si>
  <si>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</si>
  <si>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</si>
  <si>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</si>
  <si>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</si>
  <si>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</si>
  <si>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</si>
  <si>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</si>
  <si>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</si>
  <si>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</si>
  <si>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</si>
  <si>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</si>
  <si>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</si>
  <si>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</si>
  <si>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</si>
  <si>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</si>
  <si>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</si>
  <si>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</si>
  <si>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</si>
  <si>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</si>
  <si>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</si>
  <si>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</si>
  <si>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</si>
  <si>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</si>
  <si>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</si>
  <si>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</si>
  <si>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</si>
  <si>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</si>
  <si>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</si>
  <si>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</si>
  <si>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</si>
  <si>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</si>
  <si>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</si>
  <si>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</si>
  <si>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</si>
  <si>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</si>
  <si>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</si>
  <si>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</si>
  <si>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</si>
  <si>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</si>
  <si>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only basic awareness of React concepts, reciting textbook definitions without depth or practical experience. He could not answer any follow-up questions or provide concrete examples from his work. He showed no understanding of key topics like error boundaries, memoization, state management, or Node.js architecture. The interview revealed significant gaps across all competency areas, indicating a lack of hands-on experience and inability to apply concepts. The candidate is not suitable for a Senior Experience Engineer role and would require extensive training even for a junior position.</t>
  </si>
  <si>
    <t>Fundamental React concepts, hands-on coding, Node.js, GraphQL, testing, state management, performance optimization</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</si>
  <si>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</si>
  <si>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</si>
  <si>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</si>
  <si>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</si>
  <si>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</si>
  <si>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</si>
  <si>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</si>
  <si>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</si>
  <si>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</si>
  <si>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</si>
  <si>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</si>
  <si>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</si>
  <si>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</si>
  <si>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</si>
  <si>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</si>
  <si>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</si>
  <si>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</si>
  <si>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</si>
  <si>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</si>
  <si>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</si>
  <si>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</si>
  <si>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</si>
  <si>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</si>
  <si>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</si>
  <si>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</si>
  <si>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</si>
  <si>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</si>
  <si>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</si>
  <si>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</si>
  <si>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</si>
  <si>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</si>
  <si>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</si>
  <si>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</si>
  <si>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</si>
  <si>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</si>
  <si>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</si>
  <si>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</si>
  <si>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</si>
  <si>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</si>
  <si>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</si>
  <si>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</si>
  <si>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</si>
  <si>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</si>
  <si>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</si>
  <si>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</si>
  <si>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</si>
  <si>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Experience</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</si>
  <si>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</si>
  <si>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</si>
  <si>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</si>
  <si>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</si>
  <si>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</si>
  <si>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</si>
  <si>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</si>
  <si>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</si>
  <si>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</si>
  <si>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</si>
  <si>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</si>
  <si>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</si>
  <si>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</si>
  <si>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</si>
  <si>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</si>
  <si>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</si>
  <si>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</si>
  <si>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</si>
  <si>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</si>
  <si>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</si>
  <si>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</si>
  <si>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</si>
  <si>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</si>
  <si>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</si>
  <si>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</si>
  <si>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</si>
  <si>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</si>
  <si>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</si>
  <si>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</si>
  <si>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</si>
  <si>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</si>
  <si>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</si>
  <si>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</si>
  <si>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</si>
  <si>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</si>
  <si>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</si>
  <si>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</si>
  <si>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</si>
  <si>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</si>
  <si>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</si>
  <si>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</si>
  <si>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2026-05-30T05:58:47.225Z</t>
  </si>
  <si>
    <t>meeting_id</t>
  </si>
  <si>
    <t>MSoyMGYzNjNhYy0xZWFjLTRhMjQtOTNkNy1iZTIwNDBhMmVmNzAqMCoqMTk6bWVldGluZ19ObU0xWWpGbVkyUXROelJrTkMwMFl6azFMVGd5TVRjdE56Vm1NR1l3WlRjeU5qSTJAdGhyZWFkLnYy</t>
  </si>
  <si>
    <t>transcript_sha256</t>
  </si>
  <si>
    <t>a3dbf1f8e70383e99480aca15eb958fd6bdcaee51656a7a2572a75244914f684</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</si>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</sst>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144</v>
      </c>
      <c r="D3" t="s">
        <v>41</v>
      </c>
      <c r="E3" s="168" t="s">
        <v>95</v>
      </c>
      <c r="F3" t="s">
        <v>41</v>
      </c>
      <c r="G3">
        <v>0</v>
      </c>
      <c r="H3" t="s">
        <v>5</v>
      </c>
      <c r="I3" t="s">
        <v>145</v>
      </c>
      <c r="J3" t="s">
        <v>92</v>
      </c>
    </row>
    <row r="4" spans="2:9" x14ac:dyDescent="0.25">
      <c r="B4" t="s">
        <v>146</v>
      </c>
      <c r="C4" t="s">
        <v>87</v>
      </c>
      <c r="D4" t="s">
        <v>147</v>
      </c>
      <c r="E4" t="s">
        <v>148</v>
      </c>
      <c r="F4" t="s">
        <v>147</v>
      </c>
      <c r="G4">
        <v>0</v>
      </c>
      <c r="H4" t="s">
        <v>8</v>
      </c>
      <c r="I4" t="s">
        <v>149</v>
      </c>
    </row>
    <row r="5" spans="2:8" x14ac:dyDescent="0.25">
      <c r="B5" t="s">
        <v>96</v>
      </c>
      <c r="C5" t="s">
        <v>150</v>
      </c>
      <c r="D5" t="s">
        <v>151</v>
      </c>
      <c r="E5" t="s">
        <v>152</v>
      </c>
      <c r="F5" t="s">
        <v>104</v>
      </c>
      <c r="G5">
        <v>1</v>
      </c>
      <c r="H5" t="s">
        <v>153</v>
      </c>
    </row>
    <row r="6" spans="2:7" x14ac:dyDescent="0.25">
      <c r="B6" t="s">
        <v>154</v>
      </c>
      <c r="D6" t="s">
        <v>155</v>
      </c>
      <c r="F6" t="s">
        <v>156</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41</v>
      </c>
      <c r="G16" s="93"/>
      <c r="H16" s="94"/>
      <c r="I16" s="94"/>
      <c r="J16" s="95"/>
      <c r="K16">
        <f>VLOOKUP(F16,Data!$F$3:$G$7,2,FALSE)</f>
        <v>3</v>
      </c>
    </row>
    <row r="17" ht="40" customHeight="1" spans="2:11" x14ac:dyDescent="0.25">
      <c r="B17" s="115"/>
      <c r="C17" s="85" t="s">
        <v>108</v>
      </c>
      <c r="D17" s="86"/>
      <c r="E17" s="87"/>
      <c r="F17" s="161" t="s">
        <v>41</v>
      </c>
      <c r="G17" s="93"/>
      <c r="H17" s="94"/>
      <c r="I17" s="94"/>
      <c r="J17" s="95"/>
      <c r="K17">
        <f>VLOOKUP(F17,Data!$F$3:$G$7,2,FALSE)</f>
        <v>3</v>
      </c>
    </row>
    <row r="18" ht="34" customHeight="1" spans="2:11" x14ac:dyDescent="0.25">
      <c r="B18" s="115"/>
      <c r="C18" s="96" t="s">
        <v>109</v>
      </c>
      <c r="D18" s="97"/>
      <c r="E18" s="98"/>
      <c r="F18" s="161" t="s">
        <v>41</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105</v>
      </c>
      <c r="H22" s="90"/>
      <c r="I22" s="90"/>
      <c r="J22" s="91"/>
      <c r="K22">
        <f>VLOOKUP(F22,Data!$F$3:$G$7,2,FALSE)</f>
        <v>1</v>
      </c>
    </row>
    <row r="23" ht="56" customHeight="1" spans="2:11" x14ac:dyDescent="0.25">
      <c r="B23" s="115"/>
      <c r="C23" s="118" t="s">
        <v>115</v>
      </c>
      <c r="D23" s="119"/>
      <c r="E23" s="120"/>
      <c r="F23" s="161" t="s">
        <v>41</v>
      </c>
      <c r="G23" s="93"/>
      <c r="H23" s="94"/>
      <c r="I23" s="94"/>
      <c r="J23" s="95"/>
      <c r="K23">
        <f>VLOOKUP(F23,Data!$F$3:$G$7,2,FALSE)</f>
        <v>1</v>
      </c>
    </row>
    <row r="24" ht="41" customHeight="1" spans="2:11" x14ac:dyDescent="0.25">
      <c r="B24" s="115"/>
      <c r="C24" s="118" t="s">
        <v>116</v>
      </c>
      <c r="D24" s="119"/>
      <c r="E24" s="120"/>
      <c r="F24" s="162" t="s">
        <v>41</v>
      </c>
      <c r="G24" s="93"/>
      <c r="H24" s="94"/>
      <c r="I24" s="94"/>
      <c r="J24" s="95"/>
      <c r="K24">
        <f>VLOOKUP(F24,Data!$F$3:$G$7,2,FALSE)</f>
        <v>3</v>
      </c>
    </row>
    <row r="25" ht="42" customHeight="1" spans="2:11" x14ac:dyDescent="0.25">
      <c r="B25" s="115"/>
      <c r="C25" s="103" t="s">
        <v>117</v>
      </c>
      <c r="D25" s="104"/>
      <c r="E25" s="105"/>
      <c r="F25" s="163" t="s">
        <v>41</v>
      </c>
      <c r="G25" s="93"/>
      <c r="H25" s="94"/>
      <c r="I25" s="94"/>
      <c r="J25" s="95"/>
      <c r="K25">
        <f>VLOOKUP(F25,Data!$F$3:$G$7,2,FALSE)</f>
        <v>3</v>
      </c>
    </row>
    <row r="26" ht="38" customHeight="1" spans="2:11" x14ac:dyDescent="0.25">
      <c r="B26" s="115"/>
      <c r="C26" s="103" t="s">
        <v>118</v>
      </c>
      <c r="D26" s="104"/>
      <c r="E26" s="105"/>
      <c r="F26" s="163" t="s">
        <v>41</v>
      </c>
      <c r="G26" s="93"/>
      <c r="H26" s="94"/>
      <c r="I26" s="94"/>
      <c r="J26" s="95"/>
      <c r="K26">
        <f>VLOOKUP(F26,Data!$F$3:$G$7,2,FALSE)</f>
        <v>3</v>
      </c>
    </row>
    <row r="27" ht="55" customHeight="1" spans="2:11" x14ac:dyDescent="0.25">
      <c r="B27" s="115"/>
      <c r="C27" s="103" t="s">
        <v>119</v>
      </c>
      <c r="D27" s="104"/>
      <c r="E27" s="105"/>
      <c r="F27" s="163" t="s">
        <v>41</v>
      </c>
      <c r="G27" s="93"/>
      <c r="H27" s="94"/>
      <c r="I27" s="94"/>
      <c r="J27" s="95"/>
      <c r="K27">
        <f>VLOOKUP(F27,Data!$F$3:$G$7,2,FALSE)</f>
        <v>0</v>
      </c>
    </row>
    <row r="28" ht="91" customHeight="1" spans="2:11" x14ac:dyDescent="0.25">
      <c r="B28" s="115"/>
      <c r="C28" s="103" t="s">
        <v>120</v>
      </c>
      <c r="D28" s="104"/>
      <c r="E28" s="105"/>
      <c r="F28" s="163" t="s">
        <v>41</v>
      </c>
      <c r="G28" s="93"/>
      <c r="H28" s="94"/>
      <c r="I28" s="94"/>
      <c r="J28" s="95"/>
      <c r="K28">
        <f>VLOOKUP(F28,Data!$F$3:$G$7,2,FALSE)</f>
        <v>1</v>
      </c>
    </row>
    <row r="29" ht="192" customHeight="1" spans="2:11" x14ac:dyDescent="0.25">
      <c r="B29" s="115"/>
      <c r="C29" s="103" t="s">
        <v>121</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41</v>
      </c>
      <c r="G31" s="89" t="s">
        <v>105</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41</v>
      </c>
      <c r="G33" s="93"/>
      <c r="H33" s="94"/>
      <c r="I33" s="94"/>
      <c r="J33" s="95"/>
      <c r="K33">
        <f>VLOOKUP(F33,Data!$D$3:$G$7,4,FALSE)</f>
        <v>0</v>
      </c>
    </row>
    <row r="34" ht="40" customHeight="1" spans="2:11" x14ac:dyDescent="0.25">
      <c r="B34" s="115"/>
      <c r="C34" s="129" t="s">
        <v>126</v>
      </c>
      <c r="D34" s="130"/>
      <c r="E34" s="131"/>
      <c r="F34" s="161" t="s">
        <v>41</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41</v>
      </c>
      <c r="G38" s="89" t="s">
        <v>105</v>
      </c>
      <c r="H38" s="90"/>
      <c r="I38" s="90"/>
      <c r="J38" s="91"/>
      <c r="K38">
        <f>VLOOKUP(F38,Data!$D$3:$G$7,4,FALSE)</f>
        <v>0</v>
      </c>
    </row>
    <row r="39" ht="18" customHeight="1" spans="2:11" x14ac:dyDescent="0.25">
      <c r="B39" s="115"/>
      <c r="C39" s="129" t="s">
        <v>130</v>
      </c>
      <c r="D39" s="130"/>
      <c r="E39" s="131"/>
      <c r="F39" s="161" t="s">
        <v>41</v>
      </c>
      <c r="G39" s="93"/>
      <c r="H39" s="94"/>
      <c r="I39" s="94"/>
      <c r="J39" s="95"/>
      <c r="K39">
        <f>VLOOKUP(F39,Data!$D$3:$G$7,4,FALSE)</f>
        <v>0</v>
      </c>
    </row>
    <row r="40" ht="37" customHeight="1" spans="2:11" x14ac:dyDescent="0.25">
      <c r="B40" s="115"/>
      <c r="C40" s="129" t="s">
        <v>131</v>
      </c>
      <c r="D40" s="130"/>
      <c r="E40" s="131"/>
      <c r="F40" s="161" t="s">
        <v>41</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