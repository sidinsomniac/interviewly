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4" name="2 - Python Backend" state="visible" r:id="rId4"/>
    <sheet sheetId="2" name="Data" state="hidden" r:id="rId5"/>
    <sheet sheetId="1" name="_meta" state="hidden" r:id="rId6"/>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<sst xmlns="http://schemas.openxmlformats.org/spreadsheetml/2006/main" count="174" uniqueCount="137">
  <si>
    <t>Experience Engineering Hiring Probe Form [If in doubt REJECT the candidate]</t>
  </si>
  <si>
    <t>Candidate Name:</t>
  </si>
  <si>
    <t>Test Candidate</t>
  </si>
  <si>
    <t>Interviewer Name:</t>
  </si>
  <si>
    <t>Medha</t>
  </si>
  <si>
    <t xml:space="preserve">Interview Outcome: </t>
  </si>
  <si>
    <t>Selected</t>
  </si>
  <si>
    <t>React Basics</t>
  </si>
  <si>
    <t>React Advance</t>
  </si>
  <si>
    <t>Node</t>
  </si>
  <si>
    <t>GraphQL</t>
  </si>
  <si>
    <t>isRejected</t>
  </si>
  <si>
    <t>isSAL2</t>
  </si>
  <si>
    <t>isSAL1</t>
  </si>
  <si>
    <t>isAL1</t>
  </si>
  <si>
    <t>isAL2</t>
  </si>
  <si>
    <t>Career Stage</t>
  </si>
  <si>
    <t>React Specialist</t>
  </si>
  <si>
    <t>Total years of exp.:</t>
  </si>
  <si>
    <t xml:space="preserve">Interviewer OID: </t>
  </si>
  <si>
    <t>AI-001</t>
  </si>
  <si>
    <t>Selected for Level:</t>
  </si>
  <si>
    <t>Senior Experience Engineer</t>
  </si>
  <si>
    <t>Relevant years of exp.:</t>
  </si>
  <si>
    <t>(Rev)Shadow Name:</t>
  </si>
  <si>
    <t>Rejection Reason:</t>
  </si>
  <si>
    <t>Interviewed for:</t>
  </si>
  <si>
    <t>Recommended Title</t>
  </si>
  <si>
    <t>Sections to be trained on:</t>
  </si>
  <si>
    <t>Property-based testing (Hypothesis)</t>
  </si>
  <si>
    <t>Evaluation Date:</t>
  </si>
  <si>
    <t>05/30/2026</t>
  </si>
  <si>
    <t>Recommended Training</t>
  </si>
  <si>
    <t>Domain Feedback Summary &amp; Key Highlights:</t>
  </si>
  <si>
    <t>The candidate demonstrated strong proficiency across async Python, ORM, web frameworks, and testing. They clearly explained the asyncio event loop, gather vs create_task vs wait, and blocking pitfalls. They showed hands-on experience with SQLAlchemy 2.x select(), Django ORM F() expressions, and eager loading strategies. They also articulated trade-offs between raw SQL and ORM, and discussed zero-downtime migrations. Weaknesses include limited exposure to property-based testing (Hypothesis) and a lack of depth in some areas like async context managers (only theoretical). Overall, the candidate is well-suited for a Senior Experience Engineer role.</t>
  </si>
  <si>
    <t>Property-based testing with Hypothesis</t>
  </si>
  <si>
    <t>Choose hands-on exercise</t>
  </si>
  <si>
    <t>Shopping Cart</t>
  </si>
  <si>
    <t>Skill</t>
  </si>
  <si>
    <t>Areas To Be Probed / Competency Definition</t>
  </si>
  <si>
    <t>Evaluated Proficiency Level</t>
  </si>
  <si>
    <t>Feedback Details</t>
  </si>
  <si>
    <r>
      <t xml:space="preserve">React Basics </t>
    </r>
    <r>
      <rPr>
        <b/>
        <color rgb="FFFF0000"/>
        <sz val="12"/>
        <rFont val="Calibri (Body)"/>
      </rPr>
      <t>(Cover maximum listed topics as hands-on coding exercise)</t>
    </r>
  </si>
  <si>
    <t xml:space="preserve">AVG %age SCORE: </t>
  </si>
  <si>
    <t>Async &amp; Concurrency</t>
  </si>
  <si>
    <t>asyncio — event loop + coroutine lifecycle</t>
  </si>
  <si>
    <t xml:space="preserve">Confident with decision making &amp; hands on </t>
  </si>
  <si>
    <t>-</t>
  </si>
  <si>
    <t>async/await — blocking vs non-blocking I/O pitfalls</t>
  </si>
  <si>
    <t>Confident hands on developer</t>
  </si>
  <si>
    <t>GIL — impact on CPU-bound vs I/O-bound tasks</t>
  </si>
  <si>
    <t>asyncio.gather vs asyncio.create_task vs asyncio.wait</t>
  </si>
  <si>
    <t>async context managers + async generators</t>
  </si>
  <si>
    <t>Able to explain concepts theoritically</t>
  </si>
  <si>
    <t>uvicorn + gunicorn worker model (async workers)</t>
  </si>
  <si>
    <t>Did not probe</t>
  </si>
  <si>
    <t>async-django — ASGI vs WSGI + middleware</t>
  </si>
  <si>
    <t>ORM &amp; Data Access</t>
  </si>
  <si>
    <t>SQLAlchemy 2.x — select() vs query() + eager loading</t>
  </si>
  <si>
    <t>Compared Alembic and Django migrations, and described zero-downtime strategies like phased column addition and shadow tables.</t>
  </si>
  <si>
    <t>Django ORM — select_related vs prefetch_related + subqueries</t>
  </si>
  <si>
    <t>N+1 query detection and mitigation strategies</t>
  </si>
  <si>
    <t>Index design — composite indexes, partial indexes, covering indexes</t>
  </si>
  <si>
    <t>SQLAlchemy — session lifecycle + flush vs commit</t>
  </si>
  <si>
    <t>Django ORM — F() expressions + annotate vs aggregate</t>
  </si>
  <si>
    <t>Raw SQL vs ORM tradeoffs + SQL injection prevention</t>
  </si>
  <si>
    <t>Migrations — Alembic vs Django migrations + zero-downtime</t>
  </si>
  <si>
    <t>Web Frameworks &amp; APIs</t>
  </si>
  <si>
    <t>FastAPI — dependency injection + Depends() scoping</t>
  </si>
  <si>
    <t>Preferred URL versioning for explicitness, discussed header and content negotiation trade-offs.</t>
  </si>
  <si>
    <t>Django REST Framework — serializers + ViewSets vs APIView</t>
  </si>
  <si>
    <t>Pydantic v2 — model_validator vs field_validator + custom types</t>
  </si>
  <si>
    <t>Middleware — custom middleware for auth/logging/rate limiting</t>
  </si>
  <si>
    <t>Background tasks — Celery vs FastAPI BackgroundTasks + task routing</t>
  </si>
  <si>
    <t>API versioning strategies — URL vs header vs content negotiation</t>
  </si>
  <si>
    <t>Testing &amp; Type Safety</t>
  </si>
  <si>
    <t>pytest — fixtures + conftest scoping + parametrize</t>
  </si>
  <si>
    <t>Explained Protocol vs ABC with a Serializable example, and used TypedDict for API responses.</t>
  </si>
  <si>
    <t>mypy — strict mode + type narrowing + overloads</t>
  </si>
  <si>
    <t>Mocking — unittest.mock vs pytest-mock + patching strategies</t>
  </si>
  <si>
    <t>Integration testing — test containers vs fixtures + database isolation</t>
  </si>
  <si>
    <t>Property-based testing — hypothesis + strategies</t>
  </si>
  <si>
    <t xml:space="preserve">Awareness of concepts </t>
  </si>
  <si>
    <t>Type hints — generics + Protocols vs ABC + TypedDict</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</si>
  <si>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</si>
  <si>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</si>
  <si>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</si>
  <si>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</si>
  <si>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</si>
  <si>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</si>
  <si>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</si>
  <si>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</si>
  <si>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</si>
  <si>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</si>
  <si>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</si>
  <si>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</si>
  <si>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</si>
  <si>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</si>
  <si>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</si>
  <si>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</si>
  <si>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HTML/CSS</t>
  </si>
  <si>
    <t>Yes</t>
  </si>
  <si>
    <t>Experience Engineer L2</t>
  </si>
  <si>
    <t>Rejected</t>
  </si>
  <si>
    <t>No Experience</t>
  </si>
  <si>
    <t>No Hands on Experience</t>
  </si>
  <si>
    <t>NFR</t>
  </si>
  <si>
    <t>No</t>
  </si>
  <si>
    <t>Needs Another Round</t>
  </si>
  <si>
    <t>Gaps in multiple categories</t>
  </si>
  <si>
    <t>HTML/CSS &amp; NFR</t>
  </si>
  <si>
    <t>Lead Experience Engineer</t>
  </si>
  <si>
    <t xml:space="preserve">Able to explain concepts in depth  </t>
  </si>
  <si>
    <t>Able to code with guidance</t>
  </si>
  <si>
    <t>Manager Experience Engineering</t>
  </si>
  <si>
    <t>app</t>
  </si>
  <si>
    <t>interviewly</t>
  </si>
  <si>
    <t>version</t>
  </si>
  <si>
    <t>0.1.0</t>
  </si>
  <si>
    <t>model_provider</t>
  </si>
  <si>
    <t>deepseek</t>
  </si>
  <si>
    <t>model_id</t>
  </si>
  <si>
    <t>deepseek-v4-flash</t>
  </si>
  <si>
    <t>generated_at</t>
  </si>
  <si>
    <t>2026-05-30T13:45:46.126Z</t>
  </si>
  <si>
    <t>meeting_id</t>
  </si>
  <si>
    <t>TEST_MODE:python-backend-good-hire</t>
  </si>
  <si>
    <t>transcript_sha256</t>
  </si>
  <si>
    <t>84959815fe1d114610a7f4e070cb1f7a2a8b060faa3954aed21d9f832912f896</t>
  </si>
  <si>
    <t>recruiter_email</t>
  </si>
  <si>
    <t>smoke@example.com</t>
  </si>
  <si>
    <t>bot_user_email</t>
  </si>
  <si>
    <t>bot@example.com</t>
  </si>
  <si>
    <t>test_mode</t>
  </si>
  <si>
    <t>true</t>
  </si>
  <si>
    <t>fixture_id</t>
  </si>
  <si>
    <t>python-backend/good-hire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</si>
</sst>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indexed="64"/>
      </patternFill>
    </fill>
    <fill>
      <patternFill patternType="solid">
        <fgColor theme="0" tint="-0.1499984740745262"/>
        <bgColor rgb="FF000000"/>
      </patternFill>
    </fill>
    <fill>
      <patternFill patternType="solid">
        <fgColor rgb="FFA9D08E"/>
        <bgColor rgb="FF000000"/>
      </patternFill>
    </fill>
  </fills>
  <borders count="48">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style="medium">
        <color indexed="64"/>
      </bottom>
      <diagonal/>
    </border>
    <border>
      <left style="thin"/>
      <right/>
      <top/>
      <bottom/>
      <diagonal/>
    </border>
    <border>
      <left/>
      <right style="medium">
        <color indexed="64"/>
      </right>
      <top/>
      <bottom/>
      <diagonal/>
    </border>
    <border>
      <left style="medium">
        <color indexed="64"/>
      </left>
      <right/>
      <top/>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1" fillId="6" borderId="14" xfId="0" applyFont="1" applyFill="1" applyBorder="1"/>
    <xf numFmtId="0" fontId="1" fillId="7" borderId="13" xfId="0" applyFont="1" applyFill="1" applyBorder="1"/>
    <xf numFmtId="0" fontId="1" fillId="7"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8"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3" xfId="0" applyNumberFormat="1" applyFont="1" applyFill="1" applyBorder="1"/>
    <xf numFmtId="9" fontId="2" fillId="5" borderId="14" xfId="0" applyNumberFormat="1" applyFont="1" applyFill="1" applyBorder="1"/>
    <xf numFmtId="0" fontId="2" fillId="6" borderId="14" xfId="0" applyFont="1" applyFill="1" applyBorder="1"/>
    <xf numFmtId="0" fontId="2" fillId="7" borderId="13" xfId="0" applyFont="1" applyFill="1" applyBorder="1"/>
    <xf numFmtId="0" fontId="2" fillId="7"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9" borderId="17" xfId="0" applyFont="1" applyFill="1" applyBorder="1" applyAlignment="1">
      <alignment vertical="center"/>
    </xf>
    <xf numFmtId="0" fontId="3" fillId="8"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9"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8"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0" borderId="13" xfId="0" applyFont="1" applyFill="1" applyBorder="1" applyAlignment="1">
      <alignment horizontal="left" vertical="center" wrapText="1"/>
    </xf>
    <xf numFmtId="0" fontId="4" fillId="10" borderId="14" xfId="0" applyFont="1" applyFill="1" applyBorder="1" applyAlignment="1">
      <alignment horizontal="left" vertical="center" wrapText="1"/>
    </xf>
    <xf numFmtId="0" fontId="4" fillId="10" borderId="14" xfId="0" applyFont="1" applyFill="1" applyBorder="1" applyAlignment="1" applyProtection="1">
      <alignment horizontal="left" vertical="top" wrapText="1"/>
      <protection locked="0"/>
    </xf>
    <xf numFmtId="0" fontId="4" fillId="10" borderId="15" xfId="0" applyFont="1" applyFill="1" applyBorder="1" applyAlignment="1" applyProtection="1">
      <alignment horizontal="left" vertical="top" wrapText="1"/>
      <protection locked="0"/>
    </xf>
    <xf numFmtId="0" fontId="5" fillId="11" borderId="30" xfId="0" applyFont="1" applyFill="1" applyBorder="1" applyAlignment="1">
      <alignment horizontal="left" vertical="center" wrapText="1"/>
    </xf>
    <xf numFmtId="0" fontId="5" fillId="11" borderId="0" xfId="0" applyFont="1" applyFill="1" applyAlignment="1">
      <alignment horizontal="left" vertical="center" wrapText="1"/>
    </xf>
    <xf numFmtId="0" fontId="5" fillId="11" borderId="0" xfId="0" applyFont="1" applyFill="1" applyAlignment="1" applyProtection="1">
      <alignment horizontal="left" vertical="top" wrapText="1"/>
      <protection locked="0"/>
    </xf>
    <xf numFmtId="0" fontId="5" fillId="11" borderId="29" xfId="0" applyFont="1" applyFill="1" applyBorder="1" applyAlignment="1" applyProtection="1">
      <alignment horizontal="left" vertical="top" wrapText="1"/>
      <protection locked="0"/>
    </xf>
    <xf numFmtId="0" fontId="1" fillId="9" borderId="13" xfId="0" applyFont="1" applyFill="1" applyBorder="1" applyAlignment="1">
      <alignment vertical="center" wrapText="1"/>
    </xf>
    <xf numFmtId="0" fontId="1" fillId="12" borderId="31" xfId="0" applyFont="1" applyFill="1" applyBorder="1" applyAlignment="1" applyProtection="1">
      <alignment vertical="center" wrapText="1"/>
      <protection locked="0"/>
    </xf>
    <xf numFmtId="0" fontId="2" fillId="12" borderId="31" xfId="0" applyFont="1" applyFill="1" applyBorder="1" applyAlignment="1">
      <alignment horizontal="left" vertical="top" wrapText="1"/>
    </xf>
    <xf numFmtId="0" fontId="2" fillId="12" borderId="32" xfId="0" applyFont="1" applyFill="1" applyBorder="1" applyAlignment="1">
      <alignment horizontal="left" vertical="top" wrapText="1"/>
    </xf>
    <xf numFmtId="0" fontId="2" fillId="0" borderId="0" xfId="0" applyFont="1" applyAlignment="1">
      <alignment horizontal="left" vertical="center"/>
    </xf>
    <xf numFmtId="0" fontId="1" fillId="13" borderId="33" xfId="0" applyFont="1" applyFill="1" applyBorder="1" applyAlignment="1">
      <alignment horizontal="left" vertical="center"/>
    </xf>
    <xf numFmtId="0" fontId="1" fillId="13" borderId="34" xfId="0" applyFont="1" applyFill="1" applyBorder="1" applyAlignment="1">
      <alignment horizontal="left" vertical="center" wrapText="1"/>
    </xf>
    <xf numFmtId="0" fontId="1" fillId="13" borderId="35" xfId="0" applyFont="1" applyFill="1" applyBorder="1" applyAlignment="1">
      <alignment horizontal="left" vertical="center" wrapText="1"/>
    </xf>
    <xf numFmtId="0" fontId="1" fillId="13" borderId="36" xfId="0" applyFont="1" applyFill="1" applyBorder="1" applyAlignment="1">
      <alignment horizontal="left" vertical="center" wrapText="1"/>
    </xf>
    <xf numFmtId="0" fontId="1" fillId="13" borderId="33" xfId="0" applyFont="1" applyFill="1" applyBorder="1" applyAlignment="1">
      <alignment horizontal="left" vertical="center" wrapText="1"/>
    </xf>
    <xf numFmtId="0" fontId="1" fillId="13" borderId="34" xfId="0" applyFont="1" applyFill="1" applyBorder="1" applyAlignment="1">
      <alignment horizontal="left" vertical="center"/>
    </xf>
    <xf numFmtId="0" fontId="1" fillId="13" borderId="35" xfId="0" applyFont="1" applyFill="1" applyBorder="1" applyAlignment="1">
      <alignment horizontal="left" vertical="center"/>
    </xf>
    <xf numFmtId="0" fontId="1" fillId="13" borderId="36" xfId="0" applyFont="1" applyFill="1" applyBorder="1" applyAlignment="1">
      <alignment horizontal="left" vertical="center"/>
    </xf>
    <xf numFmtId="9" fontId="2" fillId="0" borderId="0" xfId="0" applyNumberFormat="1" applyFont="1" applyAlignment="1">
      <alignment horizontal="left" vertical="center"/>
    </xf>
    <xf numFmtId="0" fontId="1" fillId="10" borderId="13" xfId="0" applyFont="1" applyFill="1" applyBorder="1" applyAlignment="1">
      <alignment horizontal="center" vertical="center"/>
    </xf>
    <xf numFmtId="0" fontId="1" fillId="10" borderId="37" xfId="0" applyFont="1" applyFill="1" applyBorder="1" applyAlignment="1">
      <alignment horizontal="center" vertical="center"/>
    </xf>
    <xf numFmtId="0" fontId="1" fillId="10" borderId="37" xfId="0" applyFont="1" applyFill="1" applyBorder="1" applyAlignment="1">
      <alignment vertical="center"/>
    </xf>
    <xf numFmtId="0" fontId="1" fillId="10"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14" borderId="39" xfId="0" applyFont="1" applyFill="1" applyBorder="1" applyAlignment="1">
      <alignment horizontal="left" vertical="top" wrapText="1"/>
    </xf>
    <xf numFmtId="0" fontId="2" fillId="14" borderId="40" xfId="0" applyFont="1" applyFill="1" applyBorder="1" applyAlignment="1">
      <alignment horizontal="left" vertical="center" wrapText="1"/>
    </xf>
    <xf numFmtId="0" fontId="2" fillId="14" borderId="31" xfId="0" applyFont="1" applyFill="1" applyBorder="1" applyAlignment="1">
      <alignment horizontal="left" vertical="center" wrapText="1"/>
    </xf>
    <xf numFmtId="0" fontId="2" fillId="14" borderId="32" xfId="0" applyFont="1" applyFill="1" applyBorder="1" applyAlignment="1">
      <alignment horizontal="left" vertical="center" wrapText="1"/>
    </xf>
    <xf numFmtId="0" fontId="2" fillId="3" borderId="41" xfId="0" applyFont="1" applyFill="1" applyBorder="1" applyAlignment="1">
      <alignment horizontal="left" vertical="center" wrapText="1"/>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14" borderId="43" xfId="0" applyFont="1" applyFill="1" applyBorder="1" applyAlignment="1">
      <alignment horizontal="left" vertical="top" wrapText="1"/>
    </xf>
    <xf numFmtId="0" fontId="2" fillId="3" borderId="30"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14" borderId="13" xfId="0" applyFont="1" applyFill="1" applyBorder="1" applyAlignment="1">
      <alignment horizontal="left" vertical="center" wrapText="1"/>
    </xf>
    <xf numFmtId="0" fontId="2" fillId="14" borderId="14" xfId="0" applyFont="1" applyFill="1" applyBorder="1" applyAlignment="1">
      <alignment horizontal="left" vertical="center" wrapText="1"/>
    </xf>
    <xf numFmtId="0" fontId="2" fillId="14" borderId="15" xfId="0" applyFont="1" applyFill="1" applyBorder="1" applyAlignment="1">
      <alignment horizontal="left" vertical="center" wrapText="1"/>
    </xf>
    <xf numFmtId="0" fontId="1" fillId="14" borderId="33" xfId="0" applyFont="1" applyFill="1" applyBorder="1" applyAlignment="1">
      <alignment horizontal="left" vertical="top" wrapText="1"/>
    </xf>
    <xf numFmtId="0" fontId="2" fillId="3" borderId="34" xfId="0" applyFont="1" applyFill="1" applyBorder="1" applyAlignment="1" applyProtection="1">
      <alignment horizontal="left" vertical="top" wrapText="1"/>
      <protection locked="0"/>
    </xf>
    <xf numFmtId="0" fontId="2" fillId="3" borderId="35" xfId="0" applyFont="1" applyFill="1" applyBorder="1" applyAlignment="1" applyProtection="1">
      <alignment horizontal="left" vertical="top" wrapText="1"/>
      <protection locked="0"/>
    </xf>
    <xf numFmtId="0" fontId="2" fillId="3" borderId="36" xfId="0" applyFont="1" applyFill="1" applyBorder="1" applyAlignment="1" applyProtection="1">
      <alignment horizontal="left" vertical="top" wrapText="1"/>
      <protection locked="0"/>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44" xfId="0" applyFont="1" applyFill="1" applyBorder="1" applyAlignment="1">
      <alignment horizontal="left" vertical="center"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44" xfId="0" applyNumberFormat="1" applyFont="1" applyBorder="1" applyAlignment="1">
      <alignment horizontal="left" vertical="center" indent="1"/>
    </xf>
    <xf numFmtId="0" fontId="2" fillId="14" borderId="13" xfId="0" applyFont="1" applyFill="1" applyBorder="1" applyAlignment="1">
      <alignment horizontal="left" vertical="top" wrapText="1"/>
    </xf>
    <xf numFmtId="0" fontId="2" fillId="14" borderId="14" xfId="0" applyFont="1" applyFill="1" applyBorder="1" applyAlignment="1">
      <alignment horizontal="left" vertical="top" wrapText="1"/>
    </xf>
    <xf numFmtId="0" fontId="2" fillId="14" borderId="15" xfId="0" applyFont="1" applyFill="1" applyBorder="1" applyAlignment="1">
      <alignment horizontal="left" vertical="top" wrapText="1"/>
    </xf>
    <xf numFmtId="0" fontId="2" fillId="14" borderId="45" xfId="0" applyFont="1" applyFill="1" applyBorder="1" applyAlignment="1">
      <alignment horizontal="left" vertical="top" wrapText="1"/>
    </xf>
    <xf numFmtId="0" fontId="3" fillId="16" borderId="15" xfId="0" applyFont="1" applyFill="1" applyBorder="1" applyAlignment="1">
      <alignment horizontal="center" vertical="center"/>
    </xf>
    <xf numFmtId="0" fontId="3" fillId="14" borderId="46" xfId="0" applyFont="1" applyFill="1" applyBorder="1" applyAlignment="1">
      <alignment horizontal="left" vertical="top" wrapText="1"/>
    </xf>
    <xf numFmtId="0" fontId="2" fillId="14" borderId="47" xfId="0" applyFont="1" applyFill="1" applyBorder="1" applyAlignment="1">
      <alignment vertical="top" wrapText="1"/>
    </xf>
    <xf numFmtId="0" fontId="2" fillId="14" borderId="5" xfId="0" applyFont="1" applyFill="1" applyBorder="1" applyAlignment="1">
      <alignmen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3" fillId="14" borderId="13" xfId="0" applyFont="1" applyFill="1" applyBorder="1" applyAlignment="1">
      <alignment horizontal="left" vertical="center" wrapText="1"/>
    </xf>
    <xf numFmtId="0" fontId="3" fillId="14" borderId="14" xfId="0" applyFont="1" applyFill="1" applyBorder="1" applyAlignment="1">
      <alignment horizontal="left" vertical="center" wrapText="1"/>
    </xf>
    <xf numFmtId="0" fontId="3" fillId="14" borderId="15"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9" borderId="0" xfId="0" applyFont="1" applyFill="1"/>
    <xf numFmtId="0" fontId="2" fillId="0" borderId="0" xfId="0" applyFon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2.xml"/><Relationship Id="rId6"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115</v>
      </c>
      <c r="B1" t="s">
        <v>116</v>
      </c>
    </row>
    <row r="2" spans="1:2" x14ac:dyDescent="0.25">
      <c r="A2" t="s">
        <v>117</v>
      </c>
      <c r="B2" t="s">
        <v>118</v>
      </c>
    </row>
    <row r="3" spans="1:2" x14ac:dyDescent="0.25">
      <c r="A3" t="s">
        <v>119</v>
      </c>
      <c r="B3" t="s">
        <v>120</v>
      </c>
    </row>
    <row r="4" spans="1:2" x14ac:dyDescent="0.25">
      <c r="A4" t="s">
        <v>121</v>
      </c>
      <c r="B4" t="s">
        <v>122</v>
      </c>
    </row>
    <row r="5" spans="1:2" x14ac:dyDescent="0.25">
      <c r="A5" t="s">
        <v>123</v>
      </c>
      <c r="B5" t="s">
        <v>124</v>
      </c>
    </row>
    <row r="6" spans="1:2" x14ac:dyDescent="0.25">
      <c r="A6" t="s">
        <v>125</v>
      </c>
      <c r="B6" t="s">
        <v>126</v>
      </c>
    </row>
    <row r="7" spans="1:2" x14ac:dyDescent="0.25">
      <c r="A7" t="s">
        <v>127</v>
      </c>
      <c r="B7" t="s">
        <v>128</v>
      </c>
    </row>
    <row r="8" spans="1:2" x14ac:dyDescent="0.25">
      <c r="A8" t="s">
        <v>129</v>
      </c>
      <c r="B8" t="s">
        <v>130</v>
      </c>
    </row>
    <row r="9" spans="1:2" x14ac:dyDescent="0.25">
      <c r="A9" t="s">
        <v>131</v>
      </c>
      <c r="B9" t="s">
        <v>132</v>
      </c>
    </row>
    <row r="10" spans="1:2" x14ac:dyDescent="0.25">
      <c r="A10" t="s">
        <v>133</v>
      </c>
      <c r="B10" t="s">
        <v>134</v>
      </c>
    </row>
    <row r="11" spans="1:2" x14ac:dyDescent="0.25">
      <c r="A11" t="s">
        <v>135</v>
      </c>
      <c r="B11" t="s">
        <v>136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28" t="s">
        <v>16</v>
      </c>
      <c r="C2" s="128" t="s">
        <v>90</v>
      </c>
      <c r="D2" s="128" t="s">
        <v>91</v>
      </c>
      <c r="E2" s="128" t="s">
        <v>92</v>
      </c>
      <c r="F2" s="128" t="s">
        <v>93</v>
      </c>
      <c r="G2" s="128" t="s">
        <v>94</v>
      </c>
      <c r="H2" s="128" t="s">
        <v>95</v>
      </c>
      <c r="I2" s="128" t="s">
        <v>96</v>
      </c>
      <c r="J2" s="128" t="s">
        <v>97</v>
      </c>
    </row>
    <row r="3" spans="2:10" x14ac:dyDescent="0.25">
      <c r="B3" t="s">
        <v>98</v>
      </c>
      <c r="C3" t="s">
        <v>6</v>
      </c>
      <c r="D3" t="s">
        <v>55</v>
      </c>
      <c r="E3" s="129" t="s">
        <v>99</v>
      </c>
      <c r="F3" t="s">
        <v>55</v>
      </c>
      <c r="G3">
        <v>0</v>
      </c>
      <c r="H3" t="s">
        <v>100</v>
      </c>
      <c r="I3" t="s">
        <v>101</v>
      </c>
      <c r="J3" t="s">
        <v>17</v>
      </c>
    </row>
    <row r="4" spans="2:9" x14ac:dyDescent="0.25">
      <c r="B4" t="s">
        <v>102</v>
      </c>
      <c r="C4" t="s">
        <v>103</v>
      </c>
      <c r="D4" t="s">
        <v>104</v>
      </c>
      <c r="E4" t="s">
        <v>105</v>
      </c>
      <c r="F4" t="s">
        <v>104</v>
      </c>
      <c r="G4">
        <v>0</v>
      </c>
      <c r="H4" t="s">
        <v>106</v>
      </c>
      <c r="I4" t="s">
        <v>107</v>
      </c>
    </row>
    <row r="5" spans="2:8" x14ac:dyDescent="0.25">
      <c r="B5" t="s">
        <v>22</v>
      </c>
      <c r="C5" t="s">
        <v>108</v>
      </c>
      <c r="D5" t="s">
        <v>82</v>
      </c>
      <c r="E5" t="s">
        <v>109</v>
      </c>
      <c r="F5" t="s">
        <v>53</v>
      </c>
      <c r="G5">
        <v>1</v>
      </c>
      <c r="H5" t="s">
        <v>110</v>
      </c>
    </row>
    <row r="6" spans="2:7" x14ac:dyDescent="0.25">
      <c r="B6" t="s">
        <v>111</v>
      </c>
      <c r="D6" t="s">
        <v>112</v>
      </c>
      <c r="F6" t="s">
        <v>113</v>
      </c>
      <c r="G6">
        <v>2</v>
      </c>
    </row>
    <row r="7" spans="2:7" x14ac:dyDescent="0.25">
      <c r="B7" t="s">
        <v>114</v>
      </c>
      <c r="D7" t="s">
        <v>46</v>
      </c>
      <c r="F7" t="s">
        <v>49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2</v>
      </c>
      <c r="D4" s="9"/>
      <c r="E4" s="10" t="s">
        <v>3</v>
      </c>
      <c r="F4" s="11" t="s">
        <v>4</v>
      </c>
      <c r="G4" s="12"/>
      <c r="H4" s="13" t="s">
        <v>5</v>
      </c>
      <c r="I4" s="8" t="s">
        <v>6</v>
      </c>
      <c r="J4" s="14"/>
      <c r="M4" s="15" t="s">
        <v>7</v>
      </c>
      <c r="N4" s="16" t="s">
        <v>8</v>
      </c>
      <c r="O4" s="16" t="s">
        <v>9</v>
      </c>
      <c r="P4" s="16" t="s">
        <v>10</v>
      </c>
      <c r="Q4" s="17" t="s">
        <v>11</v>
      </c>
      <c r="R4" s="17" t="s">
        <v>12</v>
      </c>
      <c r="S4" s="17" t="s">
        <v>13</v>
      </c>
      <c r="T4" s="17" t="s">
        <v>14</v>
      </c>
      <c r="U4" s="17" t="s">
        <v>15</v>
      </c>
      <c r="V4" s="18" t="s">
        <v>16</v>
      </c>
      <c r="W4" s="19" t="s">
        <v>17</v>
      </c>
    </row>
    <row r="5" ht="22" customHeight="1" spans="2:23" x14ac:dyDescent="0.25">
      <c r="B5" s="20" t="s">
        <v>18</v>
      </c>
      <c r="C5" s="21">
        <v>7</v>
      </c>
      <c r="D5" s="22"/>
      <c r="E5" s="23" t="s">
        <v>19</v>
      </c>
      <c r="F5" s="24" t="s">
        <v>20</v>
      </c>
      <c r="G5" s="25"/>
      <c r="H5" s="26" t="s">
        <v>21</v>
      </c>
      <c r="I5" s="27" t="s">
        <v>22</v>
      </c>
      <c r="J5" s="28"/>
      <c r="M5" s="29" t="str">
        <f>L13</f>
        <v>SAL1</v>
      </c>
      <c r="N5" s="30" t="str">
        <f>L21</f>
        <v>SAL2</v>
      </c>
      <c r="O5" s="30" t="str">
        <f>L30</f>
        <v>-</v>
      </c>
      <c r="P5" s="30" t="str">
        <f>L37</f>
        <v>-</v>
      </c>
      <c r="Q5" s="31" t="b">
        <f>OR(M5="Rejected",N5="Rejected")</f>
        <v>0</v>
      </c>
      <c r="R5" s="31" t="b">
        <f>AND(NOT(Q5),M5="SAL2",N5&lt;&gt;"Associate")</f>
        <v>0</v>
      </c>
      <c r="S5" s="31" t="b">
        <f>AND(NOT(Q5),NOT(R5),OR(M5="SAL1",M5="SAL2"),OR(N5&lt;&gt;"Associate",AND(N5="Associate",OR(O5&lt;&gt;"-",P5&lt;&gt;"-"))))</f>
        <v>1</v>
      </c>
      <c r="T5" s="31" t="b">
        <f>AND(NOT(Q5),NOT(R5),NOT(S5),M5="Associate",N5="Associate",O5="-", P5="-")</f>
        <v>0</v>
      </c>
      <c r="U5" s="31" t="b">
        <f>AND(NOT(Q5),NOT(R5),NOT(S2),NOT(T2))</f>
        <v>1</v>
      </c>
      <c r="V5" s="32" t="str">
        <f>IF(Q5,"REJECTED",IF(R5,"Lead Experience Engineer",IF(S5,"Senior Experience Engineer",IF(T5,"Experience Engineer L1",IF(U5,"Experience Engineer L2","Thinking")))))</f>
        <v>Senior Experience Engineer</v>
      </c>
      <c r="W5" s="33" t="b">
        <f>AND(V5="SAL1",F2="Associate")</f>
        <v>0</v>
      </c>
    </row>
    <row r="6" ht="22" customHeight="1" spans="2:10" x14ac:dyDescent="0.25">
      <c r="B6" s="20" t="s">
        <v>23</v>
      </c>
      <c r="C6" s="34">
        <v>5</v>
      </c>
      <c r="D6" s="22"/>
      <c r="E6" s="35" t="s">
        <v>24</v>
      </c>
      <c r="F6" s="24"/>
      <c r="G6" s="25"/>
      <c r="H6" s="36" t="s">
        <v>25</v>
      </c>
      <c r="I6" s="24"/>
      <c r="J6" s="37"/>
    </row>
    <row r="7" ht="22" customHeight="1" spans="2:10" x14ac:dyDescent="0.25">
      <c r="B7" s="20" t="s">
        <v>26</v>
      </c>
      <c r="C7" s="24" t="s">
        <v>22</v>
      </c>
      <c r="D7" s="22"/>
      <c r="E7" s="35" t="s">
        <v>27</v>
      </c>
      <c r="F7" s="38" t="str">
        <f>V5</f>
        <v>Senior Experience Engineer</v>
      </c>
      <c r="G7" s="25"/>
      <c r="H7" s="39" t="s">
        <v>28</v>
      </c>
      <c r="I7" s="40" t="s">
        <v>29</v>
      </c>
      <c r="J7" s="41"/>
    </row>
    <row r="8" ht="22" customHeight="1" spans="2:10" x14ac:dyDescent="0.25">
      <c r="B8" s="42" t="s">
        <v>30</v>
      </c>
      <c r="C8" s="43" t="s">
        <v>31</v>
      </c>
      <c r="D8" s="44"/>
      <c r="E8" s="45" t="s">
        <v>32</v>
      </c>
      <c r="F8" s="46" t="str">
        <f>IF(W5,"React Specialist", "No trainings required")</f>
        <v>No trainings required</v>
      </c>
      <c r="G8" s="47"/>
      <c r="H8" s="48"/>
      <c r="I8" s="49"/>
      <c r="J8" s="50"/>
    </row>
    <row r="9" ht="128" customHeight="1" spans="2:10" x14ac:dyDescent="0.25">
      <c r="B9" s="51" t="s">
        <v>33</v>
      </c>
      <c r="C9" s="52"/>
      <c r="D9" s="53" t="s">
        <v>34</v>
      </c>
      <c r="E9" s="53"/>
      <c r="F9" s="53"/>
      <c r="G9" s="53"/>
      <c r="H9" s="53"/>
      <c r="I9" s="53"/>
      <c r="J9" s="54"/>
    </row>
    <row r="10" ht="68" customHeight="1" spans="2:10" x14ac:dyDescent="0.25">
      <c r="B10" s="55" t="s">
        <v>35</v>
      </c>
      <c r="C10" s="56"/>
      <c r="D10" s="57"/>
      <c r="E10" s="57"/>
      <c r="F10" s="57"/>
      <c r="G10" s="57"/>
      <c r="H10" s="57"/>
      <c r="I10" s="57"/>
      <c r="J10" s="58"/>
    </row>
    <row r="11" ht="71" customHeight="1" spans="2:10" x14ac:dyDescent="0.25">
      <c r="B11" s="59" t="s">
        <v>36</v>
      </c>
      <c r="C11" s="60" t="s">
        <v>37</v>
      </c>
      <c r="D11" s="61"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61"/>
      <c r="F11" s="61"/>
      <c r="G11" s="61"/>
      <c r="H11" s="61"/>
      <c r="I11" s="61"/>
      <c r="J11" s="62"/>
    </row>
    <row r="12" ht="22" customHeight="1" spans="2:15" s="63" customFormat="1" x14ac:dyDescent="0.25">
      <c r="B12" s="64" t="s">
        <v>38</v>
      </c>
      <c r="C12" s="65" t="s">
        <v>39</v>
      </c>
      <c r="D12" s="66"/>
      <c r="E12" s="67"/>
      <c r="F12" s="68" t="s">
        <v>40</v>
      </c>
      <c r="G12" s="69" t="s">
        <v>41</v>
      </c>
      <c r="H12" s="70"/>
      <c r="I12" s="70"/>
      <c r="J12" s="71"/>
      <c r="N12" s="72"/>
      <c r="O12" s="72"/>
    </row>
    <row r="13" ht="40" customHeight="1" spans="2:13" x14ac:dyDescent="0.25">
      <c r="B13" s="73" t="s">
        <v>42</v>
      </c>
      <c r="C13" s="74"/>
      <c r="D13" s="74"/>
      <c r="E13" s="74"/>
      <c r="F13" s="74"/>
      <c r="G13" s="75"/>
      <c r="H13" s="75"/>
      <c r="I13" s="76" t="s">
        <v>43</v>
      </c>
      <c r="J13" s="77">
        <f>AVERAGE(K14:K20)/3*100</f>
        <v>76.19047619047619</v>
      </c>
      <c r="K13" s="78"/>
      <c r="L13" s="78" t="str">
        <f>IF(J13&lt;60, "Rejected",IF(J13&lt;70,"Associate",IF(J13&lt;80,"SAL1","SAL2")))</f>
        <v>SAL1</v>
      </c>
      <c r="M13" s="78"/>
    </row>
    <row r="14" ht="88" customHeight="1" spans="2:11" x14ac:dyDescent="0.25">
      <c r="B14" s="79" t="s">
        <v>44</v>
      </c>
      <c r="C14" s="80" t="s">
        <v>45</v>
      </c>
      <c r="D14" s="81"/>
      <c r="E14" s="82"/>
      <c r="F14" s="83" t="s">
        <v>46</v>
      </c>
      <c r="G14" s="84" t="s">
        <v>47</v>
      </c>
      <c r="H14" s="85"/>
      <c r="I14" s="85"/>
      <c r="J14" s="86"/>
      <c r="K14">
        <f>VLOOKUP(F14,Data!$F$3:$G$7,2,FALSE)</f>
        <v>3</v>
      </c>
    </row>
    <row r="15" ht="38" customHeight="1" spans="2:11" x14ac:dyDescent="0.25">
      <c r="B15" s="87"/>
      <c r="C15" s="80" t="s">
        <v>48</v>
      </c>
      <c r="D15" s="81"/>
      <c r="E15" s="82"/>
      <c r="F15" s="83" t="s">
        <v>49</v>
      </c>
      <c r="G15" s="88"/>
      <c r="H15" s="89"/>
      <c r="I15" s="89"/>
      <c r="J15" s="90"/>
      <c r="K15">
        <f>VLOOKUP(F15,Data!$F$3:$G$7,2,FALSE)</f>
        <v>3</v>
      </c>
    </row>
    <row r="16" ht="37" customHeight="1" spans="2:11" x14ac:dyDescent="0.25">
      <c r="B16" s="87"/>
      <c r="C16" s="80" t="s">
        <v>50</v>
      </c>
      <c r="D16" s="81"/>
      <c r="E16" s="82"/>
      <c r="F16" s="83" t="s">
        <v>46</v>
      </c>
      <c r="G16" s="88"/>
      <c r="H16" s="89"/>
      <c r="I16" s="89"/>
      <c r="J16" s="90"/>
      <c r="K16">
        <f>VLOOKUP(F16,Data!$F$3:$G$7,2,FALSE)</f>
        <v>3</v>
      </c>
    </row>
    <row r="17" ht="40" customHeight="1" spans="2:11" x14ac:dyDescent="0.25">
      <c r="B17" s="87"/>
      <c r="C17" s="80" t="s">
        <v>51</v>
      </c>
      <c r="D17" s="81"/>
      <c r="E17" s="82"/>
      <c r="F17" s="83" t="s">
        <v>49</v>
      </c>
      <c r="G17" s="88"/>
      <c r="H17" s="89"/>
      <c r="I17" s="89"/>
      <c r="J17" s="90"/>
      <c r="K17">
        <f>VLOOKUP(F17,Data!$F$3:$G$7,2,FALSE)</f>
        <v>3</v>
      </c>
    </row>
    <row r="18" ht="34" customHeight="1" spans="2:11" x14ac:dyDescent="0.25">
      <c r="B18" s="87"/>
      <c r="C18" s="91" t="s">
        <v>52</v>
      </c>
      <c r="D18" s="92"/>
      <c r="E18" s="93"/>
      <c r="F18" s="83" t="s">
        <v>53</v>
      </c>
      <c r="G18" s="88"/>
      <c r="H18" s="89"/>
      <c r="I18" s="89"/>
      <c r="J18" s="90"/>
      <c r="K18">
        <f>VLOOKUP(F18,Data!$F$3:$G$7,2,FALSE)</f>
        <v>3</v>
      </c>
    </row>
    <row r="19" ht="35" customHeight="1" spans="2:11" x14ac:dyDescent="0.25">
      <c r="B19" s="87"/>
      <c r="C19" s="91" t="s">
        <v>54</v>
      </c>
      <c r="D19" s="92"/>
      <c r="E19" s="93"/>
      <c r="F19" s="83" t="s">
        <v>55</v>
      </c>
      <c r="G19" s="88"/>
      <c r="H19" s="89"/>
      <c r="I19" s="89"/>
      <c r="J19" s="90"/>
      <c r="K19">
        <f>VLOOKUP(F19,Data!$F$3:$G$7,2,FALSE)</f>
        <v>1</v>
      </c>
    </row>
    <row r="20" ht="272" customHeight="1" spans="2:11" x14ac:dyDescent="0.25">
      <c r="B20" s="94"/>
      <c r="C20" s="91" t="s">
        <v>56</v>
      </c>
      <c r="D20" s="92"/>
      <c r="E20" s="93"/>
      <c r="F20" s="83" t="s">
        <v>55</v>
      </c>
      <c r="G20" s="95"/>
      <c r="H20" s="96"/>
      <c r="I20" s="96"/>
      <c r="J20" s="97"/>
      <c r="K20">
        <f>VLOOKUP(F20,Data!$F$3:$G$7,2,FALSE)</f>
        <v>0</v>
      </c>
    </row>
    <row r="21" ht="40" customHeight="1" spans="2:16" x14ac:dyDescent="0.25">
      <c r="B21" s="73"/>
      <c r="C21" s="74"/>
      <c r="D21" s="74"/>
      <c r="E21" s="74"/>
      <c r="F21" s="74"/>
      <c r="G21" s="75"/>
      <c r="H21" s="75"/>
      <c r="I21" s="76" t="s">
        <v>43</v>
      </c>
      <c r="J21" s="77">
        <f>AVERAGE(K22:K29)/3*100</f>
        <v>62.5</v>
      </c>
      <c r="K21" s="78"/>
      <c r="L21" s="78" t="str">
        <f>IF(J21&lt;25,"Rejected",IF(J21&lt;40, "Associate", IF(J21&lt;50,"SAL1","SAL2")))</f>
        <v>SAL2</v>
      </c>
      <c r="M21" s="78"/>
      <c r="N21" s="78"/>
      <c r="O21" s="78"/>
      <c r="P21" s="78"/>
    </row>
    <row r="22" ht="37" customHeight="1" spans="2:11" x14ac:dyDescent="0.25">
      <c r="B22" s="79" t="s">
        <v>57</v>
      </c>
      <c r="C22" s="98" t="s">
        <v>58</v>
      </c>
      <c r="D22" s="99"/>
      <c r="E22" s="100"/>
      <c r="F22" s="83" t="s">
        <v>49</v>
      </c>
      <c r="G22" s="84" t="s">
        <v>59</v>
      </c>
      <c r="H22" s="85"/>
      <c r="I22" s="85"/>
      <c r="J22" s="86"/>
      <c r="K22">
        <f>VLOOKUP(F22,Data!$F$3:$G$7,2,FALSE)</f>
        <v>1</v>
      </c>
    </row>
    <row r="23" ht="56" customHeight="1" spans="2:11" x14ac:dyDescent="0.25">
      <c r="B23" s="87"/>
      <c r="C23" s="98" t="s">
        <v>60</v>
      </c>
      <c r="D23" s="99"/>
      <c r="E23" s="100"/>
      <c r="F23" s="83" t="s">
        <v>49</v>
      </c>
      <c r="G23" s="88"/>
      <c r="H23" s="89"/>
      <c r="I23" s="89"/>
      <c r="J23" s="90"/>
      <c r="K23">
        <f>VLOOKUP(F23,Data!$F$3:$G$7,2,FALSE)</f>
        <v>1</v>
      </c>
    </row>
    <row r="24" ht="41" customHeight="1" spans="2:11" x14ac:dyDescent="0.25">
      <c r="B24" s="87"/>
      <c r="C24" s="98" t="s">
        <v>61</v>
      </c>
      <c r="D24" s="99"/>
      <c r="E24" s="100"/>
      <c r="F24" s="101" t="s">
        <v>46</v>
      </c>
      <c r="G24" s="88"/>
      <c r="H24" s="89"/>
      <c r="I24" s="89"/>
      <c r="J24" s="90"/>
      <c r="K24">
        <f>VLOOKUP(F24,Data!$F$3:$G$7,2,FALSE)</f>
        <v>3</v>
      </c>
    </row>
    <row r="25" ht="42" customHeight="1" spans="2:11" x14ac:dyDescent="0.25">
      <c r="B25" s="87"/>
      <c r="C25" s="102" t="s">
        <v>62</v>
      </c>
      <c r="D25" s="103"/>
      <c r="E25" s="104"/>
      <c r="F25" s="105" t="s">
        <v>46</v>
      </c>
      <c r="G25" s="88"/>
      <c r="H25" s="89"/>
      <c r="I25" s="89"/>
      <c r="J25" s="90"/>
      <c r="K25">
        <f>VLOOKUP(F25,Data!$F$3:$G$7,2,FALSE)</f>
        <v>3</v>
      </c>
    </row>
    <row r="26" ht="38" customHeight="1" spans="2:11" x14ac:dyDescent="0.25">
      <c r="B26" s="87"/>
      <c r="C26" s="102" t="s">
        <v>63</v>
      </c>
      <c r="D26" s="103"/>
      <c r="E26" s="104"/>
      <c r="F26" s="105" t="s">
        <v>49</v>
      </c>
      <c r="G26" s="88"/>
      <c r="H26" s="89"/>
      <c r="I26" s="89"/>
      <c r="J26" s="90"/>
      <c r="K26">
        <f>VLOOKUP(F26,Data!$F$3:$G$7,2,FALSE)</f>
        <v>3</v>
      </c>
    </row>
    <row r="27" ht="55" customHeight="1" spans="2:11" x14ac:dyDescent="0.25">
      <c r="B27" s="87"/>
      <c r="C27" s="102" t="s">
        <v>64</v>
      </c>
      <c r="D27" s="103"/>
      <c r="E27" s="104"/>
      <c r="F27" s="105" t="s">
        <v>49</v>
      </c>
      <c r="G27" s="88"/>
      <c r="H27" s="89"/>
      <c r="I27" s="89"/>
      <c r="J27" s="90"/>
      <c r="K27">
        <f>VLOOKUP(F27,Data!$F$3:$G$7,2,FALSE)</f>
        <v>0</v>
      </c>
    </row>
    <row r="28" ht="91" customHeight="1" spans="2:11" x14ac:dyDescent="0.25">
      <c r="B28" s="87"/>
      <c r="C28" s="102" t="s">
        <v>65</v>
      </c>
      <c r="D28" s="103"/>
      <c r="E28" s="104"/>
      <c r="F28" s="105" t="s">
        <v>46</v>
      </c>
      <c r="G28" s="88"/>
      <c r="H28" s="89"/>
      <c r="I28" s="89"/>
      <c r="J28" s="90"/>
      <c r="K28">
        <f>VLOOKUP(F28,Data!$F$3:$G$7,2,FALSE)</f>
        <v>1</v>
      </c>
    </row>
    <row r="29" ht="192" customHeight="1" spans="2:11" x14ac:dyDescent="0.25">
      <c r="B29" s="87"/>
      <c r="C29" s="102" t="s">
        <v>66</v>
      </c>
      <c r="D29" s="103"/>
      <c r="E29" s="104"/>
      <c r="F29" s="105" t="s">
        <v>46</v>
      </c>
      <c r="G29" s="95"/>
      <c r="H29" s="96"/>
      <c r="I29" s="96"/>
      <c r="J29" s="97"/>
      <c r="K29">
        <f>VLOOKUP(F29,Data!$F$3:$G$7,2,FALSE)</f>
        <v>3</v>
      </c>
    </row>
    <row r="30" ht="40" customHeight="1" spans="2:13" x14ac:dyDescent="0.25">
      <c r="B30" s="106"/>
      <c r="C30" s="107"/>
      <c r="D30" s="107"/>
      <c r="E30" s="107"/>
      <c r="F30" s="107"/>
      <c r="G30" s="108"/>
      <c r="H30" s="108"/>
      <c r="I30" s="109" t="s">
        <v>43</v>
      </c>
      <c r="J30" s="110">
        <f>AVERAGE(K31:K36)/3*100</f>
        <v>0</v>
      </c>
      <c r="K30" s="78"/>
      <c r="L30" s="78" t="str">
        <f>IF(J30&lt;5,"-",IF(J30&lt;10,"AL2","Sr Associate"))</f>
        <v>-</v>
      </c>
      <c r="M30" s="78"/>
    </row>
    <row r="31" ht="40" customHeight="1" spans="2:11" x14ac:dyDescent="0.25">
      <c r="B31" s="79" t="s">
        <v>67</v>
      </c>
      <c r="C31" s="111" t="s">
        <v>68</v>
      </c>
      <c r="D31" s="112"/>
      <c r="E31" s="113"/>
      <c r="F31" s="83" t="s">
        <v>49</v>
      </c>
      <c r="G31" s="84" t="s">
        <v>69</v>
      </c>
      <c r="H31" s="85"/>
      <c r="I31" s="85"/>
      <c r="J31" s="86"/>
      <c r="K31">
        <f>VLOOKUP(F31,Data!$D$3:$G$7,4,FALSE)</f>
        <v>0</v>
      </c>
    </row>
    <row r="32" ht="85" customHeight="1" spans="2:11" x14ac:dyDescent="0.25">
      <c r="B32" s="87"/>
      <c r="C32" s="112" t="s">
        <v>70</v>
      </c>
      <c r="D32" s="112"/>
      <c r="E32" s="113"/>
      <c r="F32" s="83" t="s">
        <v>49</v>
      </c>
      <c r="G32" s="88"/>
      <c r="H32" s="89"/>
      <c r="I32" s="89"/>
      <c r="J32" s="90"/>
      <c r="K32">
        <f>VLOOKUP(F32,Data!$D$3:$G$7,4,FALSE)</f>
        <v>0</v>
      </c>
    </row>
    <row r="33" ht="52" customHeight="1" spans="2:11" x14ac:dyDescent="0.25">
      <c r="B33" s="87"/>
      <c r="C33" s="111" t="s">
        <v>71</v>
      </c>
      <c r="D33" s="112"/>
      <c r="E33" s="113"/>
      <c r="F33" s="83" t="s">
        <v>49</v>
      </c>
      <c r="G33" s="88"/>
      <c r="H33" s="89"/>
      <c r="I33" s="89"/>
      <c r="J33" s="90"/>
      <c r="K33">
        <f>VLOOKUP(F33,Data!$D$3:$G$7,4,FALSE)</f>
        <v>0</v>
      </c>
    </row>
    <row r="34" ht="40" customHeight="1" spans="2:11" x14ac:dyDescent="0.25">
      <c r="B34" s="87"/>
      <c r="C34" s="111" t="s">
        <v>72</v>
      </c>
      <c r="D34" s="112"/>
      <c r="E34" s="113"/>
      <c r="F34" s="83" t="s">
        <v>46</v>
      </c>
      <c r="G34" s="88"/>
      <c r="H34" s="89"/>
      <c r="I34" s="89"/>
      <c r="J34" s="90"/>
      <c r="K34">
        <f>VLOOKUP(F34,Data!$D$3:$G$7,4,FALSE)</f>
        <v>0</v>
      </c>
    </row>
    <row r="35" ht="103" customHeight="1" spans="2:11" x14ac:dyDescent="0.25">
      <c r="B35" s="87"/>
      <c r="C35" s="111" t="s">
        <v>73</v>
      </c>
      <c r="D35" s="112"/>
      <c r="E35" s="113"/>
      <c r="F35" s="83" t="s">
        <v>46</v>
      </c>
      <c r="G35" s="88"/>
      <c r="H35" s="89"/>
      <c r="I35" s="89"/>
      <c r="J35" s="90"/>
      <c r="K35">
        <f>VLOOKUP(F35,Data!$D$3:$G$7,4,FALSE)</f>
        <v>0</v>
      </c>
    </row>
    <row r="36" ht="53" customHeight="1" spans="2:11" x14ac:dyDescent="0.25">
      <c r="B36" s="94"/>
      <c r="C36" s="111" t="s">
        <v>74</v>
      </c>
      <c r="D36" s="112"/>
      <c r="E36" s="113"/>
      <c r="F36" s="83" t="s">
        <v>46</v>
      </c>
      <c r="G36" s="95"/>
      <c r="H36" s="96"/>
      <c r="I36" s="96"/>
      <c r="J36" s="97"/>
      <c r="K36">
        <f>VLOOKUP(F36,Data!$D$3:$G$7,4,FALSE)</f>
        <v>0</v>
      </c>
    </row>
    <row r="37" ht="53" customHeight="1" spans="2:13" x14ac:dyDescent="0.25">
      <c r="B37" s="106"/>
      <c r="C37" s="107"/>
      <c r="D37" s="107"/>
      <c r="E37" s="107"/>
      <c r="F37" s="107"/>
      <c r="G37" s="108"/>
      <c r="H37" s="108"/>
      <c r="I37" s="109" t="s">
        <v>43</v>
      </c>
      <c r="J37" s="110">
        <f>AVERAGE(K38:K50)/3*100</f>
        <v>0</v>
      </c>
      <c r="K37" s="78"/>
      <c r="L37" s="78" t="str">
        <f>IF(J37&lt;5,"-",IF(J37&lt;10,"AL2","Sr Associate"))</f>
        <v>-</v>
      </c>
      <c r="M37" s="78"/>
    </row>
    <row r="38" ht="53" customHeight="1" spans="2:11" x14ac:dyDescent="0.25">
      <c r="B38" s="79" t="s">
        <v>75</v>
      </c>
      <c r="C38" s="111" t="s">
        <v>76</v>
      </c>
      <c r="D38" s="112"/>
      <c r="E38" s="113"/>
      <c r="F38" s="83" t="s">
        <v>49</v>
      </c>
      <c r="G38" s="84" t="s">
        <v>77</v>
      </c>
      <c r="H38" s="85"/>
      <c r="I38" s="85"/>
      <c r="J38" s="86"/>
      <c r="K38">
        <f>VLOOKUP(F38,Data!$D$3:$G$7,4,FALSE)</f>
        <v>0</v>
      </c>
    </row>
    <row r="39" ht="18" customHeight="1" spans="2:11" x14ac:dyDescent="0.25">
      <c r="B39" s="87"/>
      <c r="C39" s="111" t="s">
        <v>78</v>
      </c>
      <c r="D39" s="112"/>
      <c r="E39" s="113"/>
      <c r="F39" s="83" t="s">
        <v>49</v>
      </c>
      <c r="G39" s="88"/>
      <c r="H39" s="89"/>
      <c r="I39" s="89"/>
      <c r="J39" s="90"/>
      <c r="K39">
        <f>VLOOKUP(F39,Data!$D$3:$G$7,4,FALSE)</f>
        <v>0</v>
      </c>
    </row>
    <row r="40" ht="37" customHeight="1" spans="2:11" x14ac:dyDescent="0.25">
      <c r="B40" s="87"/>
      <c r="C40" s="111" t="s">
        <v>79</v>
      </c>
      <c r="D40" s="112"/>
      <c r="E40" s="113"/>
      <c r="F40" s="83" t="s">
        <v>49</v>
      </c>
      <c r="G40" s="88"/>
      <c r="H40" s="89"/>
      <c r="I40" s="89"/>
      <c r="J40" s="90"/>
      <c r="K40">
        <f>VLOOKUP(F40,Data!$D$3:$G$7,4,FALSE)</f>
        <v>0</v>
      </c>
    </row>
    <row r="41" ht="37" customHeight="1" spans="2:11" x14ac:dyDescent="0.25">
      <c r="B41" s="87"/>
      <c r="C41" s="111" t="s">
        <v>80</v>
      </c>
      <c r="D41" s="112"/>
      <c r="E41" s="113"/>
      <c r="F41" s="83" t="s">
        <v>46</v>
      </c>
      <c r="G41" s="88"/>
      <c r="H41" s="89"/>
      <c r="I41" s="89"/>
      <c r="J41" s="90"/>
      <c r="K41">
        <f>VLOOKUP(F41,Data!$D$3:$G$7,4,FALSE)</f>
        <v>0</v>
      </c>
    </row>
    <row r="42" ht="42" customHeight="1" spans="2:11" x14ac:dyDescent="0.25">
      <c r="B42" s="87"/>
      <c r="C42" s="111" t="s">
        <v>81</v>
      </c>
      <c r="D42" s="112"/>
      <c r="E42" s="113"/>
      <c r="F42" s="83" t="s">
        <v>82</v>
      </c>
      <c r="G42" s="88"/>
      <c r="H42" s="89"/>
      <c r="I42" s="89"/>
      <c r="J42" s="90"/>
      <c r="K42">
        <f>VLOOKUP(F42,Data!$D$3:$G$7,4,FALSE)</f>
        <v>0</v>
      </c>
    </row>
    <row r="43" ht="33" customHeight="1" spans="2:11" x14ac:dyDescent="0.25">
      <c r="B43" s="94"/>
      <c r="C43" s="114" t="s">
        <v>83</v>
      </c>
      <c r="D43" s="112"/>
      <c r="E43" s="113"/>
      <c r="F43" s="83" t="s">
        <v>49</v>
      </c>
      <c r="G43" s="95"/>
      <c r="H43" s="96"/>
      <c r="I43" s="96"/>
      <c r="J43" s="97"/>
      <c r="K43">
        <f>VLOOKUP(F43,Data!$D$3:$G$7,4,FALSE)</f>
        <v>0</v>
      </c>
    </row>
    <row r="44" ht="41" customHeight="1" spans="2:10" x14ac:dyDescent="0.25">
      <c r="B44" s="106" t="s">
        <v>84</v>
      </c>
      <c r="C44" s="107"/>
      <c r="D44" s="107"/>
      <c r="E44" s="107"/>
      <c r="F44" s="107"/>
      <c r="G44" s="107"/>
      <c r="H44" s="107"/>
      <c r="I44" s="107"/>
      <c r="J44" s="115"/>
    </row>
    <row r="45" ht="57" customHeight="1" spans="2:10" x14ac:dyDescent="0.25">
      <c r="B45" s="116" t="s">
        <v>85</v>
      </c>
      <c r="C45" s="111" t="s">
        <v>86</v>
      </c>
      <c r="D45" s="113"/>
      <c r="E45" s="117" t="s">
        <v>87</v>
      </c>
      <c r="F45" s="118" t="s">
        <v>88</v>
      </c>
      <c r="G45" s="119"/>
      <c r="H45" s="120"/>
      <c r="I45" s="120"/>
      <c r="J45" s="121"/>
    </row>
    <row r="46" ht="22" customHeight="1" spans="2:10" x14ac:dyDescent="0.25">
      <c r="B46" s="122" t="s">
        <v>89</v>
      </c>
      <c r="C46" s="123"/>
      <c r="D46" s="123"/>
      <c r="E46" s="123"/>
      <c r="F46" s="124"/>
      <c r="G46" s="125"/>
      <c r="H46" s="126"/>
      <c r="I46" s="126"/>
      <c r="J46" s="127"/>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0"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2 - Python Backend</vt:lpstr>
      <vt:lpstr>Data</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