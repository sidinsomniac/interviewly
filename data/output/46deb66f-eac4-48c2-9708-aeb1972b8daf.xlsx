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<sst xmlns="http://schemas.openxmlformats.org/spreadsheetml/2006/main" count="323" uniqueCount="205">
  <si>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</si>
  <si>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</si>
  <si>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</si>
  <si>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</si>
  <si>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</si>
  <si>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</si>
  <si>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</si>
  <si>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</si>
  <si>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</si>
  <si>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</si>
  <si>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</si>
  <si>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</si>
  <si>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</si>
  <si>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</si>
  <si>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</si>
  <si>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</si>
  <si>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</si>
  <si>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</si>
  <si>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</si>
  <si>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</si>
  <si>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</si>
  <si>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</si>
  <si>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</si>
  <si>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</si>
  <si>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</si>
  <si>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</si>
  <si>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</si>
  <si>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</si>
  <si>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</si>
  <si>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</si>
  <si>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</si>
  <si>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</si>
  <si>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</si>
  <si>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</si>
  <si>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</si>
  <si>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</si>
  <si>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</si>
  <si>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</si>
  <si>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</si>
  <si>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</si>
  <si>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</si>
  <si>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</si>
  <si>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</si>
  <si>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</si>
  <si>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</si>
  <si>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</si>
  <si>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</si>
  <si>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</si>
  <si>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</si>
  <si>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</si>
  <si>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</si>
  <si>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</si>
  <si>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</si>
  <si>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</si>
  <si>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</si>
  <si>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</si>
  <si>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</si>
  <si>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</si>
  <si>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</si>
  <si>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</si>
  <si>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</si>
  <si>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</si>
  <si>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</si>
  <si>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</si>
  <si>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</si>
  <si>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</si>
  <si>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</si>
  <si>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</si>
  <si>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</si>
  <si>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</si>
  <si>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</si>
  <si>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</si>
  <si>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</si>
  <si>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</si>
  <si>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</si>
  <si>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</si>
  <si>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</si>
  <si>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</si>
  <si>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</si>
  <si>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</si>
  <si>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</si>
  <si>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</si>
  <si>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</si>
  <si>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</si>
  <si>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</si>
  <si>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</si>
  <si>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</si>
  <si>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</si>
  <si>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</si>
  <si>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</si>
  <si>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</si>
  <si>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</si>
  <si>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</si>
  <si>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</si>
  <si>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</si>
  <si>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Lacked Fundamentals</t>
  </si>
  <si>
    <t>Senior Experience Engineer</t>
  </si>
  <si>
    <t>React Basics, React Advanced, Node, GraphQL</t>
  </si>
  <si>
    <t>05/30/2026</t>
  </si>
  <si>
    <t>The candidate demonstrated awareness of basic React concepts like conditional rendering and styling approaches, but struggled to provide concrete examples or deep explanations. They mentioned using CSS Modules and styled-components but could not articulate trade-offs. For state management, they vaguely referenced Context API but lacked clarity on useReducer or performance considerations. The candidate had no experience with Node.js or GraphQL, and could not answer questions on those topics. Overall, the candidate lacks the depth and hands-on experience required for a Senior Experience Engineer role.</t>
  </si>
  <si>
    <t>Requires foundational training in React hooks, state management, Node.js, and GraphQL.</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</si>
  <si>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</si>
  <si>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</si>
  <si>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</si>
  <si>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Able to explain concepts theoritically</t>
  </si>
  <si>
    <t>Could not explain error boundaries or their limitations.</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</si>
  <si>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</si>
  <si>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</si>
  <si>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</si>
  <si>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</si>
  <si>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</si>
  <si>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No Experience</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</si>
  <si>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</si>
  <si>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</si>
  <si>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</si>
  <si>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</si>
  <si>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Knew about dotenv but no logging best practices.</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</si>
  <si>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</si>
  <si>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</si>
  <si>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</si>
  <si>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</si>
  <si>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</si>
  <si>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</si>
  <si>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</si>
  <si>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</si>
  <si>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</si>
  <si>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Could not compare Node.js frameworks.</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</si>
  <si>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</si>
  <si>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</si>
  <si>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</si>
  <si>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</si>
  <si>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</si>
  <si>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</si>
  <si>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No experience with GraphQL clients.</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</si>
  <si>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</si>
  <si>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</si>
  <si>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</si>
  <si>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</si>
  <si>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</si>
  <si>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</si>
  <si>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</si>
  <si>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</si>
  <si>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</si>
  <si>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</si>
  <si>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</si>
  <si>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</si>
  <si>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</si>
  <si>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</si>
  <si>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</si>
  <si>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Yes</t>
  </si>
  <si>
    <t>Experience Engineer L2</t>
  </si>
  <si>
    <t>No Hands on Experience</t>
  </si>
  <si>
    <t>No</t>
  </si>
  <si>
    <t>Needs Another Round</t>
  </si>
  <si>
    <t xml:space="preserve">Awareness of concepts </t>
  </si>
  <si>
    <t>Gaps in multiple categories</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</si>
  <si>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</si>
  <si>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</si>
  <si>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</si>
  <si>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</si>
  <si>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</si>
  <si>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</si>
  <si>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</si>
  <si>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</si>
  <si>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</si>
  <si>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</si>
  <si>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</si>
  <si>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</si>
  <si>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</si>
  <si>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</si>
  <si>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</si>
  <si>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</si>
  <si>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</si>
  <si>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</si>
  <si>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</si>
  <si>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</si>
  <si>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</si>
  <si>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</si>
  <si>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</si>
  <si>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</si>
  <si>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</si>
  <si>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</si>
  <si>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</si>
  <si>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</si>
  <si>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</si>
  <si>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</si>
  <si>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</si>
  <si>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</si>
  <si>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</si>
  <si>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</si>
  <si>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</si>
  <si>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</si>
  <si>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2026-05-29T20:01:56.400Z</t>
  </si>
  <si>
    <t>meeting_id</t>
  </si>
  <si>
    <t>MSoyMGYzNjNhYy0xZWFjLTRhMjQtOTNkNy1iZTIwNDBhMmVmNzAqMCoqMTk6bWVldGluZ19aamhoTldRd00ySXRaakExWWkwMFpHVmpMVGd4Wm1RdE5EYzJPVFZrWkdJd09XTXhAdGhyZWFkLnYy</t>
  </si>
  <si>
    <t>transcript_sha256</t>
  </si>
  <si>
    <t>455d04c9692aa16b9b0a21c9ae501c83c5b3e6b599703d8195db78cab349f6eb</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</si>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</sst>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139</v>
      </c>
      <c r="D2" s="167" t="s">
        <v>140</v>
      </c>
      <c r="E2" s="167" t="s">
        <v>141</v>
      </c>
      <c r="F2" s="167" t="s">
        <v>142</v>
      </c>
      <c r="G2" s="167" t="s">
        <v>143</v>
      </c>
      <c r="H2" s="167" t="s">
        <v>144</v>
      </c>
      <c r="I2" s="167" t="s">
        <v>145</v>
      </c>
      <c r="J2" s="167" t="s">
        <v>146</v>
      </c>
    </row>
    <row r="3" spans="2:10" x14ac:dyDescent="0.25">
      <c r="B3" t="s">
        <v>147</v>
      </c>
      <c r="C3" t="s">
        <v>148</v>
      </c>
      <c r="D3" t="s">
        <v>41</v>
      </c>
      <c r="E3" s="168" t="s">
        <v>95</v>
      </c>
      <c r="F3" t="s">
        <v>41</v>
      </c>
      <c r="G3">
        <v>0</v>
      </c>
      <c r="H3" t="s">
        <v>5</v>
      </c>
      <c r="I3" t="s">
        <v>149</v>
      </c>
      <c r="J3" t="s">
        <v>92</v>
      </c>
    </row>
    <row r="4" spans="2:9" x14ac:dyDescent="0.25">
      <c r="B4" t="s">
        <v>150</v>
      </c>
      <c r="C4" t="s">
        <v>87</v>
      </c>
      <c r="D4" t="s">
        <v>111</v>
      </c>
      <c r="E4" t="s">
        <v>151</v>
      </c>
      <c r="F4" t="s">
        <v>111</v>
      </c>
      <c r="G4">
        <v>0</v>
      </c>
      <c r="H4" t="s">
        <v>8</v>
      </c>
      <c r="I4" t="s">
        <v>152</v>
      </c>
    </row>
    <row r="5" spans="2:8" x14ac:dyDescent="0.25">
      <c r="B5" t="s">
        <v>96</v>
      </c>
      <c r="C5" t="s">
        <v>153</v>
      </c>
      <c r="D5" t="s">
        <v>154</v>
      </c>
      <c r="E5" t="s">
        <v>155</v>
      </c>
      <c r="F5" t="s">
        <v>104</v>
      </c>
      <c r="G5">
        <v>1</v>
      </c>
      <c r="H5" t="s">
        <v>156</v>
      </c>
    </row>
    <row r="6" spans="2:7" x14ac:dyDescent="0.25">
      <c r="B6" t="s">
        <v>157</v>
      </c>
      <c r="D6" t="s">
        <v>158</v>
      </c>
      <c r="F6" t="s">
        <v>159</v>
      </c>
      <c r="G6">
        <v>2</v>
      </c>
    </row>
    <row r="7" spans="2:7" x14ac:dyDescent="0.25">
      <c r="B7" t="s">
        <v>160</v>
      </c>
      <c r="D7" t="s">
        <v>161</v>
      </c>
      <c r="F7" t="s">
        <v>162</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183</v>
      </c>
      <c r="B1" t="s">
        <v>184</v>
      </c>
    </row>
    <row r="2" spans="1:2" x14ac:dyDescent="0.25">
      <c r="A2" t="s">
        <v>185</v>
      </c>
      <c r="B2" t="s">
        <v>186</v>
      </c>
    </row>
    <row r="3" spans="1:2" x14ac:dyDescent="0.25">
      <c r="A3" t="s">
        <v>187</v>
      </c>
      <c r="B3" t="s">
        <v>188</v>
      </c>
    </row>
    <row r="4" spans="1:2" x14ac:dyDescent="0.25">
      <c r="A4" t="s">
        <v>189</v>
      </c>
      <c r="B4" t="s">
        <v>190</v>
      </c>
    </row>
    <row r="5" spans="1:2" x14ac:dyDescent="0.25">
      <c r="A5" t="s">
        <v>191</v>
      </c>
      <c r="B5" t="s">
        <v>192</v>
      </c>
    </row>
    <row r="6" spans="1:2" x14ac:dyDescent="0.25">
      <c r="A6" t="s">
        <v>193</v>
      </c>
      <c r="B6" t="s">
        <v>194</v>
      </c>
    </row>
    <row r="7" spans="1:2" x14ac:dyDescent="0.25">
      <c r="A7" t="s">
        <v>195</v>
      </c>
      <c r="B7" t="s">
        <v>196</v>
      </c>
    </row>
    <row r="8" spans="1:2" x14ac:dyDescent="0.25">
      <c r="A8" t="s">
        <v>197</v>
      </c>
      <c r="B8" t="s">
        <v>198</v>
      </c>
    </row>
    <row r="9" spans="1:2" x14ac:dyDescent="0.25">
      <c r="A9" t="s">
        <v>199</v>
      </c>
      <c r="B9" t="s">
        <v>200</v>
      </c>
    </row>
    <row r="10" spans="1:2" x14ac:dyDescent="0.25">
      <c r="A10" t="s">
        <v>201</v>
      </c>
      <c r="B10" t="s">
        <v>202</v>
      </c>
    </row>
    <row r="11" spans="1:2" x14ac:dyDescent="0.25">
      <c r="A11" t="s">
        <v>203</v>
      </c>
      <c r="B11" t="s">
        <v>204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104</v>
      </c>
      <c r="G15" s="93"/>
      <c r="H15" s="94"/>
      <c r="I15" s="94"/>
      <c r="J15" s="95"/>
      <c r="K15">
        <f>VLOOKUP(F15,Data!$F$3:$G$7,2,FALSE)</f>
        <v>3</v>
      </c>
    </row>
    <row r="16" ht="37" customHeight="1" spans="2:11" x14ac:dyDescent="0.25">
      <c r="B16" s="115"/>
      <c r="C16" s="85" t="s">
        <v>107</v>
      </c>
      <c r="D16" s="86"/>
      <c r="E16" s="87"/>
      <c r="F16" s="161" t="s">
        <v>104</v>
      </c>
      <c r="G16" s="93"/>
      <c r="H16" s="94"/>
      <c r="I16" s="94"/>
      <c r="J16" s="95"/>
      <c r="K16">
        <f>VLOOKUP(F16,Data!$F$3:$G$7,2,FALSE)</f>
        <v>3</v>
      </c>
    </row>
    <row r="17" ht="40" customHeight="1" spans="2:11" x14ac:dyDescent="0.25">
      <c r="B17" s="115"/>
      <c r="C17" s="85" t="s">
        <v>108</v>
      </c>
      <c r="D17" s="86"/>
      <c r="E17" s="87"/>
      <c r="F17" s="161" t="s">
        <v>104</v>
      </c>
      <c r="G17" s="93"/>
      <c r="H17" s="94"/>
      <c r="I17" s="94"/>
      <c r="J17" s="95"/>
      <c r="K17">
        <f>VLOOKUP(F17,Data!$F$3:$G$7,2,FALSE)</f>
        <v>3</v>
      </c>
    </row>
    <row r="18" ht="34" customHeight="1" spans="2:11" x14ac:dyDescent="0.25">
      <c r="B18" s="115"/>
      <c r="C18" s="96" t="s">
        <v>109</v>
      </c>
      <c r="D18" s="97"/>
      <c r="E18" s="98"/>
      <c r="F18" s="161" t="s">
        <v>104</v>
      </c>
      <c r="G18" s="93"/>
      <c r="H18" s="94"/>
      <c r="I18" s="94"/>
      <c r="J18" s="95"/>
      <c r="K18">
        <f>VLOOKUP(F18,Data!$F$3:$G$7,2,FALSE)</f>
        <v>3</v>
      </c>
    </row>
    <row r="19" ht="35" customHeight="1" spans="2:11" x14ac:dyDescent="0.25">
      <c r="B19" s="115"/>
      <c r="C19" s="96" t="s">
        <v>110</v>
      </c>
      <c r="D19" s="97"/>
      <c r="E19" s="98"/>
      <c r="F19" s="161" t="s">
        <v>111</v>
      </c>
      <c r="G19" s="93"/>
      <c r="H19" s="94"/>
      <c r="I19" s="94"/>
      <c r="J19" s="95"/>
      <c r="K19">
        <f>VLOOKUP(F19,Data!$F$3:$G$7,2,FALSE)</f>
        <v>1</v>
      </c>
    </row>
    <row r="20" ht="272" customHeight="1" spans="2:11" x14ac:dyDescent="0.25">
      <c r="B20" s="116"/>
      <c r="C20" s="96" t="s">
        <v>112</v>
      </c>
      <c r="D20" s="97"/>
      <c r="E20" s="98"/>
      <c r="F20" s="161" t="s">
        <v>111</v>
      </c>
      <c r="G20" s="99"/>
      <c r="H20" s="100"/>
      <c r="I20" s="100"/>
      <c r="J20" s="101"/>
      <c r="K20">
        <f>VLOOKUP(F20,Data!$F$3:$G$7,2,FALSE)</f>
        <v>0</v>
      </c>
    </row>
    <row r="21" ht="40" customHeight="1" spans="2:16" x14ac:dyDescent="0.25">
      <c r="B21" s="78" t="s">
        <v>113</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114</v>
      </c>
      <c r="C22" s="118" t="s">
        <v>115</v>
      </c>
      <c r="D22" s="119"/>
      <c r="E22" s="120"/>
      <c r="F22" s="161" t="s">
        <v>111</v>
      </c>
      <c r="G22" s="89" t="s">
        <v>116</v>
      </c>
      <c r="H22" s="90"/>
      <c r="I22" s="90"/>
      <c r="J22" s="91"/>
      <c r="K22">
        <f>VLOOKUP(F22,Data!$F$3:$G$7,2,FALSE)</f>
        <v>1</v>
      </c>
    </row>
    <row r="23" ht="56" customHeight="1" spans="2:11" x14ac:dyDescent="0.25">
      <c r="B23" s="115"/>
      <c r="C23" s="118" t="s">
        <v>117</v>
      </c>
      <c r="D23" s="119"/>
      <c r="E23" s="120"/>
      <c r="F23" s="161" t="s">
        <v>104</v>
      </c>
      <c r="G23" s="93"/>
      <c r="H23" s="94"/>
      <c r="I23" s="94"/>
      <c r="J23" s="95"/>
      <c r="K23">
        <f>VLOOKUP(F23,Data!$F$3:$G$7,2,FALSE)</f>
        <v>1</v>
      </c>
    </row>
    <row r="24" ht="41" customHeight="1" spans="2:11" x14ac:dyDescent="0.25">
      <c r="B24" s="115"/>
      <c r="C24" s="118" t="s">
        <v>118</v>
      </c>
      <c r="D24" s="119"/>
      <c r="E24" s="120"/>
      <c r="F24" s="162" t="s">
        <v>104</v>
      </c>
      <c r="G24" s="93"/>
      <c r="H24" s="94"/>
      <c r="I24" s="94"/>
      <c r="J24" s="95"/>
      <c r="K24">
        <f>VLOOKUP(F24,Data!$F$3:$G$7,2,FALSE)</f>
        <v>3</v>
      </c>
    </row>
    <row r="25" ht="42" customHeight="1" spans="2:11" x14ac:dyDescent="0.25">
      <c r="B25" s="115"/>
      <c r="C25" s="103" t="s">
        <v>119</v>
      </c>
      <c r="D25" s="104"/>
      <c r="E25" s="105"/>
      <c r="F25" s="163" t="s">
        <v>104</v>
      </c>
      <c r="G25" s="93"/>
      <c r="H25" s="94"/>
      <c r="I25" s="94"/>
      <c r="J25" s="95"/>
      <c r="K25">
        <f>VLOOKUP(F25,Data!$F$3:$G$7,2,FALSE)</f>
        <v>3</v>
      </c>
    </row>
    <row r="26" ht="38" customHeight="1" spans="2:11" x14ac:dyDescent="0.25">
      <c r="B26" s="115"/>
      <c r="C26" s="103" t="s">
        <v>120</v>
      </c>
      <c r="D26" s="104"/>
      <c r="E26" s="105"/>
      <c r="F26" s="163" t="s">
        <v>104</v>
      </c>
      <c r="G26" s="93"/>
      <c r="H26" s="94"/>
      <c r="I26" s="94"/>
      <c r="J26" s="95"/>
      <c r="K26">
        <f>VLOOKUP(F26,Data!$F$3:$G$7,2,FALSE)</f>
        <v>3</v>
      </c>
    </row>
    <row r="27" ht="55" customHeight="1" spans="2:11" x14ac:dyDescent="0.25">
      <c r="B27" s="115"/>
      <c r="C27" s="103" t="s">
        <v>121</v>
      </c>
      <c r="D27" s="104"/>
      <c r="E27" s="105"/>
      <c r="F27" s="163" t="s">
        <v>111</v>
      </c>
      <c r="G27" s="93"/>
      <c r="H27" s="94"/>
      <c r="I27" s="94"/>
      <c r="J27" s="95"/>
      <c r="K27">
        <f>VLOOKUP(F27,Data!$F$3:$G$7,2,FALSE)</f>
        <v>0</v>
      </c>
    </row>
    <row r="28" ht="91" customHeight="1" spans="2:11" x14ac:dyDescent="0.25">
      <c r="B28" s="115"/>
      <c r="C28" s="103" t="s">
        <v>122</v>
      </c>
      <c r="D28" s="104"/>
      <c r="E28" s="105"/>
      <c r="F28" s="163" t="s">
        <v>104</v>
      </c>
      <c r="G28" s="93"/>
      <c r="H28" s="94"/>
      <c r="I28" s="94"/>
      <c r="J28" s="95"/>
      <c r="K28">
        <f>VLOOKUP(F28,Data!$F$3:$G$7,2,FALSE)</f>
        <v>1</v>
      </c>
    </row>
    <row r="29" ht="192" customHeight="1" spans="2:11" x14ac:dyDescent="0.25">
      <c r="B29" s="115"/>
      <c r="C29" s="103" t="s">
        <v>123</v>
      </c>
      <c r="D29" s="104"/>
      <c r="E29" s="105"/>
      <c r="F29" s="163" t="s">
        <v>104</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124</v>
      </c>
      <c r="C31" s="129" t="s">
        <v>125</v>
      </c>
      <c r="D31" s="130"/>
      <c r="E31" s="131"/>
      <c r="F31" s="161" t="s">
        <v>111</v>
      </c>
      <c r="G31" s="89" t="s">
        <v>126</v>
      </c>
      <c r="H31" s="90"/>
      <c r="I31" s="90"/>
      <c r="J31" s="91"/>
      <c r="K31">
        <f>VLOOKUP(F31,Data!$D$3:$G$7,4,FALSE)</f>
        <v>0</v>
      </c>
    </row>
    <row r="32" ht="85" customHeight="1" spans="2:11" x14ac:dyDescent="0.25">
      <c r="B32" s="115"/>
      <c r="C32" s="130" t="s">
        <v>127</v>
      </c>
      <c r="D32" s="130"/>
      <c r="E32" s="131"/>
      <c r="F32" s="161" t="s">
        <v>111</v>
      </c>
      <c r="G32" s="93"/>
      <c r="H32" s="94"/>
      <c r="I32" s="94"/>
      <c r="J32" s="95"/>
      <c r="K32">
        <f>VLOOKUP(F32,Data!$D$3:$G$7,4,FALSE)</f>
        <v>0</v>
      </c>
    </row>
    <row r="33" ht="52" customHeight="1" spans="2:11" x14ac:dyDescent="0.25">
      <c r="B33" s="115"/>
      <c r="C33" s="129" t="s">
        <v>128</v>
      </c>
      <c r="D33" s="130"/>
      <c r="E33" s="131"/>
      <c r="F33" s="161" t="s">
        <v>111</v>
      </c>
      <c r="G33" s="93"/>
      <c r="H33" s="94"/>
      <c r="I33" s="94"/>
      <c r="J33" s="95"/>
      <c r="K33">
        <f>VLOOKUP(F33,Data!$D$3:$G$7,4,FALSE)</f>
        <v>0</v>
      </c>
    </row>
    <row r="34" ht="40" customHeight="1" spans="2:11" x14ac:dyDescent="0.25">
      <c r="B34" s="115"/>
      <c r="C34" s="129" t="s">
        <v>129</v>
      </c>
      <c r="D34" s="130"/>
      <c r="E34" s="131"/>
      <c r="F34" s="161" t="s">
        <v>111</v>
      </c>
      <c r="G34" s="93"/>
      <c r="H34" s="94"/>
      <c r="I34" s="94"/>
      <c r="J34" s="95"/>
      <c r="K34">
        <f>VLOOKUP(F34,Data!$D$3:$G$7,4,FALSE)</f>
        <v>0</v>
      </c>
    </row>
    <row r="35" ht="103" customHeight="1" spans="2:11" x14ac:dyDescent="0.25">
      <c r="B35" s="115"/>
      <c r="C35" s="129" t="s">
        <v>130</v>
      </c>
      <c r="D35" s="130"/>
      <c r="E35" s="131"/>
      <c r="F35" s="161" t="s">
        <v>111</v>
      </c>
      <c r="G35" s="93"/>
      <c r="H35" s="94"/>
      <c r="I35" s="94"/>
      <c r="J35" s="95"/>
      <c r="K35">
        <f>VLOOKUP(F35,Data!$D$3:$G$7,4,FALSE)</f>
        <v>0</v>
      </c>
    </row>
    <row r="36" ht="53" customHeight="1" spans="2:11" x14ac:dyDescent="0.25">
      <c r="B36" s="116"/>
      <c r="C36" s="129" t="s">
        <v>131</v>
      </c>
      <c r="D36" s="130"/>
      <c r="E36" s="131"/>
      <c r="F36" s="161" t="s">
        <v>111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132</v>
      </c>
      <c r="D38" s="130"/>
      <c r="E38" s="131"/>
      <c r="F38" s="161" t="s">
        <v>111</v>
      </c>
      <c r="G38" s="89" t="s">
        <v>133</v>
      </c>
      <c r="H38" s="90"/>
      <c r="I38" s="90"/>
      <c r="J38" s="91"/>
      <c r="K38">
        <f>VLOOKUP(F38,Data!$D$3:$G$7,4,FALSE)</f>
        <v>0</v>
      </c>
    </row>
    <row r="39" ht="18" customHeight="1" spans="2:11" x14ac:dyDescent="0.25">
      <c r="B39" s="115"/>
      <c r="C39" s="129" t="s">
        <v>134</v>
      </c>
      <c r="D39" s="130"/>
      <c r="E39" s="131"/>
      <c r="F39" s="161" t="s">
        <v>111</v>
      </c>
      <c r="G39" s="93"/>
      <c r="H39" s="94"/>
      <c r="I39" s="94"/>
      <c r="J39" s="95"/>
      <c r="K39">
        <f>VLOOKUP(F39,Data!$D$3:$G$7,4,FALSE)</f>
        <v>0</v>
      </c>
    </row>
    <row r="40" ht="37" customHeight="1" spans="2:11" x14ac:dyDescent="0.25">
      <c r="B40" s="115"/>
      <c r="C40" s="129" t="s">
        <v>135</v>
      </c>
      <c r="D40" s="130"/>
      <c r="E40" s="131"/>
      <c r="F40" s="161" t="s">
        <v>111</v>
      </c>
      <c r="G40" s="93"/>
      <c r="H40" s="94"/>
      <c r="I40" s="94"/>
      <c r="J40" s="95"/>
      <c r="K40">
        <f>VLOOKUP(F40,Data!$D$3:$G$7,4,FALSE)</f>
        <v>0</v>
      </c>
    </row>
    <row r="41" ht="37" customHeight="1" spans="2:11" x14ac:dyDescent="0.25">
      <c r="B41" s="115"/>
      <c r="C41" s="129" t="s">
        <v>136</v>
      </c>
      <c r="D41" s="130"/>
      <c r="E41" s="131"/>
      <c r="F41" s="161" t="s">
        <v>111</v>
      </c>
      <c r="G41" s="93"/>
      <c r="H41" s="94"/>
      <c r="I41" s="94"/>
      <c r="J41" s="95"/>
      <c r="K41">
        <f>VLOOKUP(F41,Data!$D$3:$G$7,4,FALSE)</f>
        <v>0</v>
      </c>
    </row>
    <row r="42" ht="42" customHeight="1" spans="2:11" x14ac:dyDescent="0.25">
      <c r="B42" s="115"/>
      <c r="C42" s="129" t="s">
        <v>137</v>
      </c>
      <c r="D42" s="130"/>
      <c r="E42" s="131"/>
      <c r="F42" s="161" t="s">
        <v>111</v>
      </c>
      <c r="G42" s="93"/>
      <c r="H42" s="94"/>
      <c r="I42" s="94"/>
      <c r="J42" s="95"/>
      <c r="K42">
        <f>VLOOKUP(F42,Data!$D$3:$G$7,4,FALSE)</f>
        <v>0</v>
      </c>
    </row>
    <row r="43" ht="33" customHeight="1" spans="2:11" x14ac:dyDescent="0.25">
      <c r="B43" s="116"/>
      <c r="C43" s="132" t="s">
        <v>138</v>
      </c>
      <c r="D43" s="130"/>
      <c r="E43" s="131"/>
      <c r="F43" s="161" t="s">
        <v>111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163</v>
      </c>
    </row>
    <row r="2" spans="1:2" x14ac:dyDescent="0.25">
      <c r="A2" t="s">
        <v>33</v>
      </c>
      <c r="B2" t="s">
        <v>164</v>
      </c>
    </row>
    <row r="3" spans="1:2" x14ac:dyDescent="0.25">
      <c r="A3" t="s">
        <v>165</v>
      </c>
      <c r="B3" t="s">
        <v>166</v>
      </c>
    </row>
    <row r="4" spans="1:2" x14ac:dyDescent="0.25">
      <c r="A4" t="s">
        <v>167</v>
      </c>
      <c r="B4" t="s">
        <v>168</v>
      </c>
    </row>
    <row r="5" spans="1:2" x14ac:dyDescent="0.25">
      <c r="A5" t="s">
        <v>169</v>
      </c>
      <c r="B5" t="s">
        <v>170</v>
      </c>
    </row>
    <row r="6" spans="1:2" x14ac:dyDescent="0.25">
      <c r="A6" t="s">
        <v>101</v>
      </c>
      <c r="B6" t="s">
        <v>171</v>
      </c>
    </row>
    <row r="7" spans="1:2" x14ac:dyDescent="0.25">
      <c r="A7" t="s">
        <v>172</v>
      </c>
      <c r="B7" t="s">
        <v>173</v>
      </c>
    </row>
    <row r="8" spans="1:2" x14ac:dyDescent="0.25">
      <c r="A8" t="s">
        <v>174</v>
      </c>
      <c r="B8" t="s">
        <v>175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176</v>
      </c>
    </row>
    <row r="2" spans="1:2" x14ac:dyDescent="0.25">
      <c r="A2" t="s">
        <v>33</v>
      </c>
      <c r="B2" t="s">
        <v>177</v>
      </c>
    </row>
    <row r="3" spans="1:2" x14ac:dyDescent="0.25">
      <c r="A3" t="s">
        <v>165</v>
      </c>
      <c r="B3" t="s">
        <v>178</v>
      </c>
    </row>
    <row r="4" spans="1:2" x14ac:dyDescent="0.25">
      <c r="A4" t="s">
        <v>167</v>
      </c>
      <c r="B4" t="s">
        <v>179</v>
      </c>
    </row>
    <row r="5" spans="1:2" x14ac:dyDescent="0.25">
      <c r="A5" t="s">
        <v>169</v>
      </c>
      <c r="B5" t="s">
        <v>180</v>
      </c>
    </row>
    <row r="6" spans="1:2" x14ac:dyDescent="0.25">
      <c r="A6" t="s">
        <v>101</v>
      </c>
      <c r="B6" t="s">
        <v>181</v>
      </c>
    </row>
    <row r="7" spans="1:2" x14ac:dyDescent="0.25">
      <c r="A7" t="s">
        <v>172</v>
      </c>
      <c r="B7" t="s">
        <v>182</v>
      </c>
    </row>
    <row r="8" spans="1:2" x14ac:dyDescent="0.25">
      <c r="A8" t="s">
        <v>174</v>
      </c>
      <c r="B8"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