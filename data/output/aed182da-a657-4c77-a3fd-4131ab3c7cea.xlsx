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<sst xmlns="http://schemas.openxmlformats.org/spreadsheetml/2006/main" count="323" uniqueCount="203">
  <si>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</si>
  <si>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</si>
  <si>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</si>
  <si>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</si>
  <si>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</si>
  <si>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</si>
  <si>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</si>
  <si>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</si>
  <si>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</si>
  <si>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</si>
  <si>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</si>
  <si>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</si>
  <si>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</si>
  <si>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</si>
  <si>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</si>
  <si>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</si>
  <si>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</si>
  <si>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</si>
  <si>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</si>
  <si>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</si>
  <si>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</si>
  <si>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</si>
  <si>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</si>
  <si>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</si>
  <si>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</si>
  <si>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</si>
  <si>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</si>
  <si>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</si>
  <si>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</si>
  <si>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</si>
  <si>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</si>
  <si>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</si>
  <si>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</si>
  <si>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</si>
  <si>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</si>
  <si>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</si>
  <si>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</si>
  <si>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</si>
  <si>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</si>
  <si>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</si>
  <si>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</si>
  <si>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</si>
  <si>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</si>
  <si>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</si>
  <si>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</si>
  <si>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</si>
  <si>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</si>
  <si>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</si>
  <si>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</si>
  <si>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</si>
  <si>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</si>
  <si>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</si>
  <si>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</si>
  <si>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</si>
  <si>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</si>
  <si>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</si>
  <si>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</si>
  <si>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</si>
  <si>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</si>
  <si>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</si>
  <si>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</si>
  <si>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</si>
  <si>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</si>
  <si>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</si>
  <si>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</si>
  <si>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</si>
  <si>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</si>
  <si>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</si>
  <si>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</si>
  <si>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</si>
  <si>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</si>
  <si>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</si>
  <si>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</si>
  <si>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</si>
  <si>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</si>
  <si>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</si>
  <si>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</si>
  <si>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</si>
  <si>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</si>
  <si>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</si>
  <si>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</si>
  <si>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</si>
  <si>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</si>
  <si>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</si>
  <si>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</si>
  <si>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</si>
  <si>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</si>
  <si>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</si>
  <si>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</si>
  <si>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</si>
  <si>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</si>
  <si>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</si>
  <si>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</si>
  <si>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</si>
  <si>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</si>
  <si>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Gaps in multiple categories</t>
  </si>
  <si>
    <t>Senior Experience Engineer</t>
  </si>
  <si>
    <t>React Advanced, Node, GraphQL</t>
  </si>
  <si>
    <t>05/31/2026</t>
  </si>
  <si>
    <t>The candidate demonstrated basic React knowledge, particularly in conditional rendering and useEffect usage, with some practical examples like a checkout orchestrator and WebSocket cleanup. However, the interview revealed significant gaps: the candidate did not answer questions on styling, error boundaries, rendering patterns, custom hooks, Context API, useRef, memoization, routing, state management, npm/dotenv, Node.js, or GraphQL. Many questions were either not answered or the candidate provided off-topic responses. The candidate's experience level appears limited to basic React concepts, and they lack depth in advanced React patterns, backend technologies, and GraphQL. Overall, the candidate is not suitable for a Senior Experience Engineer role due to insufficient breadth and depth.</t>
  </si>
  <si>
    <t>Requires training in advanced React (Context API, useRef, memoization, routing, state management), Node.js (microservices, REST, streaming, databases, frameworks), and GraphQL (Apollo, caching, schema, clients).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</si>
  <si>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</si>
  <si>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</si>
  <si>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</si>
  <si>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 xml:space="preserve">Able to explain concepts in depth </t>
  </si>
  <si>
    <t>-</t>
  </si>
  <si>
    <t>Able to style the component using traditional css or css-in-js</t>
  </si>
  <si>
    <t>Able to demonstrate use of fragments, useEffect, useState</t>
  </si>
  <si>
    <t xml:space="preserve">Able to render a component in loop and understands best practices related to key attribute </t>
  </si>
  <si>
    <t>Able to explain concepts theoritically</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</si>
  <si>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</si>
  <si>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</si>
  <si>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</si>
  <si>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</si>
  <si>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</si>
  <si>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</si>
  <si>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</si>
  <si>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</si>
  <si>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</si>
  <si>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</si>
  <si>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</si>
  <si>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</si>
  <si>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</si>
  <si>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</si>
  <si>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</si>
  <si>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</si>
  <si>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</si>
  <si>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</si>
  <si>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</si>
  <si>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</si>
  <si>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</si>
  <si>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</si>
  <si>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</si>
  <si>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</si>
  <si>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</si>
  <si>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</si>
  <si>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</si>
  <si>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</si>
  <si>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</si>
  <si>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</si>
  <si>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</si>
  <si>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</si>
  <si>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</si>
  <si>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</si>
  <si>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</si>
  <si>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</si>
  <si>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</si>
  <si>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</si>
  <si>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Experience Engineer L2</t>
  </si>
  <si>
    <t>No Experience</t>
  </si>
  <si>
    <t>No Hands on Experience</t>
  </si>
  <si>
    <t>No</t>
  </si>
  <si>
    <t>Needs Another Round</t>
  </si>
  <si>
    <t xml:space="preserve">Awareness of concepts </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</si>
  <si>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</si>
  <si>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</si>
  <si>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</si>
  <si>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</si>
  <si>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</si>
  <si>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</si>
  <si>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</si>
  <si>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</si>
  <si>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</si>
  <si>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</si>
  <si>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</si>
  <si>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</si>
  <si>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</si>
  <si>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</si>
  <si>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</si>
  <si>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</si>
  <si>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</si>
  <si>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</si>
  <si>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</si>
  <si>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</si>
  <si>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</si>
  <si>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</si>
  <si>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</si>
  <si>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</si>
  <si>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</si>
  <si>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</si>
  <si>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</si>
  <si>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</si>
  <si>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</si>
  <si>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</si>
  <si>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</si>
  <si>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</si>
  <si>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</si>
  <si>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</si>
  <si>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</si>
  <si>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</si>
  <si>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2026-05-30T19:48:07.688Z</t>
  </si>
  <si>
    <t>meeting_id</t>
  </si>
  <si>
    <t>MSoyMGYzNjNhYy0xZWFjLTRhMjQtOTNkNy1iZTIwNDBhMmVmNzAqMCoqMTk6bWVldGluZ19aRE01WXpneE5EVXRNelJoTmkwMFpEYzFMVGcwWXpjdFlXTTNZV0UwTXpWak56SXdAdGhyZWFkLnYy</t>
  </si>
  <si>
    <t>transcript_sha256</t>
  </si>
  <si>
    <t>e7f77ad81f362971daaf6735f299fdde272d188a2b7e1c3f1580276c65d83f66</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</si>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</sst>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145</v>
      </c>
      <c r="D3" t="s">
        <v>41</v>
      </c>
      <c r="E3" s="168" t="s">
        <v>146</v>
      </c>
      <c r="F3" t="s">
        <v>41</v>
      </c>
      <c r="G3">
        <v>0</v>
      </c>
      <c r="H3" t="s">
        <v>5</v>
      </c>
      <c r="I3" t="s">
        <v>147</v>
      </c>
      <c r="J3" t="s">
        <v>92</v>
      </c>
    </row>
    <row r="4" spans="2:9" x14ac:dyDescent="0.25">
      <c r="B4" t="s">
        <v>148</v>
      </c>
      <c r="C4" t="s">
        <v>87</v>
      </c>
      <c r="D4" t="s">
        <v>149</v>
      </c>
      <c r="E4" t="s">
        <v>150</v>
      </c>
      <c r="F4" t="s">
        <v>149</v>
      </c>
      <c r="G4">
        <v>0</v>
      </c>
      <c r="H4" t="s">
        <v>8</v>
      </c>
      <c r="I4" t="s">
        <v>151</v>
      </c>
    </row>
    <row r="5" spans="2:8" x14ac:dyDescent="0.25">
      <c r="B5" t="s">
        <v>96</v>
      </c>
      <c r="C5" t="s">
        <v>152</v>
      </c>
      <c r="D5" t="s">
        <v>153</v>
      </c>
      <c r="E5" t="s">
        <v>95</v>
      </c>
      <c r="F5" t="s">
        <v>109</v>
      </c>
      <c r="G5">
        <v>1</v>
      </c>
      <c r="H5" t="s">
        <v>154</v>
      </c>
    </row>
    <row r="6" spans="2:7" x14ac:dyDescent="0.25">
      <c r="B6" t="s">
        <v>155</v>
      </c>
      <c r="D6" t="s">
        <v>156</v>
      </c>
      <c r="F6" t="s">
        <v>157</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109</v>
      </c>
      <c r="G17" s="93"/>
      <c r="H17" s="94"/>
      <c r="I17" s="94"/>
      <c r="J17" s="95"/>
      <c r="K17">
        <f>VLOOKUP(F17,Data!$F$3:$G$7,2,FALSE)</f>
        <v>3</v>
      </c>
    </row>
    <row r="18" ht="34" customHeight="1" spans="2:11" x14ac:dyDescent="0.25">
      <c r="B18" s="115"/>
      <c r="C18" s="96" t="s">
        <v>110</v>
      </c>
      <c r="D18" s="97"/>
      <c r="E18" s="98"/>
      <c r="F18" s="161" t="s">
        <v>104</v>
      </c>
      <c r="G18" s="93"/>
      <c r="H18" s="94"/>
      <c r="I18" s="94"/>
      <c r="J18" s="95"/>
      <c r="K18">
        <f>VLOOKUP(F18,Data!$F$3:$G$7,2,FALSE)</f>
        <v>3</v>
      </c>
    </row>
    <row r="19" ht="35" customHeight="1" spans="2:11" x14ac:dyDescent="0.25">
      <c r="B19" s="115"/>
      <c r="C19" s="96" t="s">
        <v>111</v>
      </c>
      <c r="D19" s="97"/>
      <c r="E19" s="98"/>
      <c r="F19" s="161" t="s">
        <v>41</v>
      </c>
      <c r="G19" s="93"/>
      <c r="H19" s="94"/>
      <c r="I19" s="94"/>
      <c r="J19" s="95"/>
      <c r="K19">
        <f>VLOOKUP(F19,Data!$F$3:$G$7,2,FALSE)</f>
        <v>1</v>
      </c>
    </row>
    <row r="20" ht="272" customHeight="1" spans="2:11" x14ac:dyDescent="0.25">
      <c r="B20" s="116"/>
      <c r="C20" s="96" t="s">
        <v>112</v>
      </c>
      <c r="D20" s="97"/>
      <c r="E20" s="98"/>
      <c r="F20" s="161" t="s">
        <v>41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105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