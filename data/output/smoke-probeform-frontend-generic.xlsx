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1" name="1 - HTML, CSS &amp; NFRs" state="visible" r:id="rId4"/>
    <sheet sheetId="2" name="Data" state="hidden" r:id="rId5"/>
    <sheet sheetId="3" name="_meta" state="hidden" r:id="rId6"/>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<sst xmlns="http://schemas.openxmlformats.org/spreadsheetml/2006/main" count="199" uniqueCount="156">
  <si>
    <t>Experience Engineering Hiring Probe Form [If in doubt REJECT the candidate]</t>
  </si>
  <si>
    <t>Candidate Name:</t>
  </si>
  <si>
    <t>Schema Smoke Candidate</t>
  </si>
  <si>
    <t>Interviewer Name:</t>
  </si>
  <si>
    <t>Medha</t>
  </si>
  <si>
    <t xml:space="preserve">Interview Outcome: </t>
  </si>
  <si>
    <t>Selected</t>
  </si>
  <si>
    <t>Architecture</t>
  </si>
  <si>
    <t>HTML/CSS</t>
  </si>
  <si>
    <t>JS</t>
  </si>
  <si>
    <t>Packaging</t>
  </si>
  <si>
    <t>NFR</t>
  </si>
  <si>
    <t>SAL2Count</t>
  </si>
  <si>
    <t>SAL1Count</t>
  </si>
  <si>
    <t>Associate Count</t>
  </si>
  <si>
    <t>Rejected Count</t>
  </si>
  <si>
    <t>isRejected</t>
  </si>
  <si>
    <t>isSAL2</t>
  </si>
  <si>
    <t>isSAL1</t>
  </si>
  <si>
    <t>isAL1</t>
  </si>
  <si>
    <t>isAL2</t>
  </si>
  <si>
    <t>Career Stage</t>
  </si>
  <si>
    <t>Total years of exp.:</t>
  </si>
  <si>
    <t xml:space="preserve">Interviewer OID: </t>
  </si>
  <si>
    <t>AI-001</t>
  </si>
  <si>
    <t>Selected for Level:</t>
  </si>
  <si>
    <t>Senior Experience Engineer</t>
  </si>
  <si>
    <t>Relevant years of exp.:</t>
  </si>
  <si>
    <t>(Rev)Shadow Name:</t>
  </si>
  <si>
    <t>Rejection Reason:</t>
  </si>
  <si>
    <t>Interviewed for:</t>
  </si>
  <si>
    <t>Recommended Title</t>
  </si>
  <si>
    <t>Sections to be trained on:</t>
  </si>
  <si>
    <t>Evaluation Date:</t>
  </si>
  <si>
    <t>05/27/2026</t>
  </si>
  <si>
    <t>Recommended Training</t>
  </si>
  <si>
    <t>Domain Feedback Summary &amp; Key Highlights:</t>
  </si>
  <si>
    <t>Synthetic domain feedback summary written by scripts/smoke-react-probeform.ts. Confirms D10 wiring on the React role schema. All competency rows below were filled deterministically without an LLM call.</t>
  </si>
  <si>
    <t>Teachable Skill Gap Details:</t>
  </si>
  <si>
    <t>Choose hands-on exercise</t>
  </si>
  <si>
    <t>Pokemon 1</t>
  </si>
  <si>
    <t>Skill</t>
  </si>
  <si>
    <t>Areas To Be Probed / Competency Definition</t>
  </si>
  <si>
    <t>Evaluated Proficiency Level</t>
  </si>
  <si>
    <t>Feedback Details</t>
  </si>
  <si>
    <t>ARCHITECTURE</t>
  </si>
  <si>
    <t xml:space="preserve">AVG %age SCORE: </t>
  </si>
  <si>
    <t>Can explain the frontend architecture of their existing project. And aware of architectural patterns like: MicroFrontends, SPA/MPA, Web Components, 12 Factor, MicroServices, ModuleFederation</t>
  </si>
  <si>
    <t xml:space="preserve">Able to explain concepts in depth </t>
  </si>
  <si>
    <t>[HTML &amp; Accessibility] Smoke test feedback for row 18 — Forms — validation, error messages, aria-invalid, aria-describedby.</t>
  </si>
  <si>
    <t>Is clear with reasons of tech stack decisions made</t>
  </si>
  <si>
    <t>Confident hands on developer</t>
  </si>
  <si>
    <r>
      <t xml:space="preserve">Awareness of Rendering Techniques: </t>
    </r>
    <r>
      <rPr>
        <b/>
        <color theme="1"/>
        <family val="2"/>
        <scheme val="minor"/>
        <sz val="12"/>
        <rFont val="Calibri"/>
      </rPr>
      <t>SSR/CSR/SSG/ISR/ESR/PWA</t>
    </r>
  </si>
  <si>
    <t>Able to give a comparitive PoV on design system, atomic design pattern and various CSS code organization techniques e.g. CSS modules, inline CSS, styled-components, emotion, etc.</t>
  </si>
  <si>
    <t>Experience with setting up Design Systems. Atomic design concepts. Storybook implementation. Understands concept of Design Tokens.</t>
  </si>
  <si>
    <t>PWA</t>
  </si>
  <si>
    <t xml:space="preserve">Able to explain browser caching through http headers (cache-control, etag)
Able to explain browser caching using service workers and benefits over http caching
Able to tell different caching strategies for service workers
</t>
  </si>
  <si>
    <t>[HTML &amp; Accessibility] Smoke test feedback for row 19 — SEO — meta tags, Open Graph, structured data (JSON-LD).</t>
  </si>
  <si>
    <t>[HTML &amp; Accessibility] Smoke test feedback for row 20 — Security — CSP, CSRF tokens, XSS prevention.</t>
  </si>
  <si>
    <t>HTML | Templating</t>
  </si>
  <si>
    <t>Sementic HTML, DOM</t>
  </si>
  <si>
    <t>Did not probe</t>
  </si>
  <si>
    <t>[CSS &amp; Layout] Smoke test feedback for row 23 — Flexbox — alignment, wrapping, order, flex shorthand.</t>
  </si>
  <si>
    <t xml:space="preserve">Able to create Form in native HTML and submit without JS. Able to add validations to form. Knows how to use FormData API. </t>
  </si>
  <si>
    <t>Able to explain browser side storage (cookies / localstorage / sessionstorage / indexeddb)</t>
  </si>
  <si>
    <t>CSS / processors &amp; Responsive</t>
  </si>
  <si>
    <t>Understands CSS Concepts like: CSSOM, Rules, Selectors and Property values, Cascading, Inheritance, Specificity</t>
  </si>
  <si>
    <t>[CSS &amp; Layout] Smoke test feedback for row 26 — CSS layers — @layer, cascade control, specificity management.</t>
  </si>
  <si>
    <t xml:space="preserve">Responsive Design (Mobile and Desktop first), Media Queries. Responsive Images.
Layout -  [flex, grid, float], display, postitioning.</t>
  </si>
  <si>
    <t>Preprocessors (SCSS/SASS) / Postprocessors (PostCSS), Frameworks (Tailwind, Chakra, Bootstrap), CSS-in-JS (Styled Components, Emotion, CSS Modules)</t>
  </si>
  <si>
    <t>[CSS &amp; Layout] Smoke test feedback for row 27 — CSS architecture — BEM, CUBE, naming conventions.</t>
  </si>
  <si>
    <t>Javascript</t>
  </si>
  <si>
    <t xml:space="preserve">Hands on coding exercise to cover following topics: 
Event Listeners (Able to use following: addEventListener, event object, stopPropagation, preventDefault)
DOM Manipulation (querySelector, querySelectorAll, innerHTML, DOM Fragments[optional])</t>
  </si>
  <si>
    <t>[CSS &amp; Layout] Smoke test feedback for row 29 — Rendering pipeline — CSSOM, layout, paint, compositing.</t>
  </si>
  <si>
    <t xml:space="preserve">Loops/map
Promises (then-catch, async-await, promise.all)
Fetch API
Able to create modules, and use import and export statement
Able to explain usecases for deboune and throttle
Able to modify and transform objects</t>
  </si>
  <si>
    <t xml:space="preserve">Is the code written well structured?
 - If code written in single file and poor variable names  - No Experience
- If code written in single file with good code breakdown - Awareness of concepts
- If code written in multiple files with logic split across - Able to explain concepts in depth
- If code written in multiple file with utilities, constants and config also managed separately - Confident with decision making and hands on</t>
  </si>
  <si>
    <t xml:space="preserve">Has experience of writing Unit Test cases in previous projects using Jest/Karma/Jasmine/Mocha/Enzyme/RTL
Has experience in writing functional test cases (not snapshot testing)
Able to tell test cases to be written for a given scenario
Able to explain HTTP API mocking and browser API methods mocking (e.g. mocking localstorage)</t>
  </si>
  <si>
    <t>[JavaScript &amp; TypeScript] Smoke test feedback for row 31 — ES2023 — array findLast, toSorted, toReversed, with.</t>
  </si>
  <si>
    <t>Typescript</t>
  </si>
  <si>
    <t xml:space="preserve">Able to explain the benefits and trade-offs of using TypeScript over JavaScript. 
Understands basic types, including string, number, boolean, undefined, null, and any.</t>
  </si>
  <si>
    <t>[JavaScript &amp; TypeScript] Smoke test feedback for row 32 — Modules — import/export, dynamic import, tree shaking.</t>
  </si>
  <si>
    <t xml:space="preserve">Comfortable with advanced types such as interfaces, enums, tuples, generics, and unions. 
</t>
  </si>
  <si>
    <t>[JavaScript &amp; TypeScript] Smoke test feedback for row 33 — Async iterators — for await...of, async generators.</t>
  </si>
  <si>
    <t xml:space="preserve">Experience in using TypeScript with popular frontend frameworks, particularly React. 
Has experience configuring a TypeScript project using tsconfig.json.</t>
  </si>
  <si>
    <t>[JavaScript &amp; TypeScript] Smoke test feedback for row 34 — Event loop — microtasks vs macrotasks, requestAnimationFrame.</t>
  </si>
  <si>
    <t>[JavaScript &amp; TypeScript] Smoke test feedback for row 35 — TypeScript — utility types, generics, type guards.</t>
  </si>
  <si>
    <t>Bundlers</t>
  </si>
  <si>
    <t xml:space="preserve">Able to explain concept of Monorepo and related tools (nx, turborepo)
Experience configuring a module bundler - webpack/esbuild/rollup/vite</t>
  </si>
  <si>
    <t>[JavaScript &amp; TypeScript] Smoke test feedback for row 36 — Polyfills — core-js, transpilation, browser support strategies.</t>
  </si>
  <si>
    <t>Tooling</t>
  </si>
  <si>
    <t xml:space="preserve">Has experience of using &amp; configuring following tools:
Linters - Pa11y, ESLint, Sonar
Formatters - Prettier
GitHooks - Husky, lint-staged
WebServers - Apache/Nginx</t>
  </si>
  <si>
    <t>[Performance &amp; PWA] Smoke test feedback for row 38 — Core Web Vitals — LCP, FID/INP, CLS measurement + optimization.</t>
  </si>
  <si>
    <t>Performance</t>
  </si>
  <si>
    <t xml:space="preserve">Able to run any performance tool (e.g. lighthouse, webpagetest, pagespeed, sitespeed.io, etc) on a website and gather report
Able to explain different performance metrices e.g. (WebVitals, Critical Rendering Path)
Able to tell performance improvement areas and their impact on performance metrices like:
Web Compression(gzip/brotli), Caching / CDN / Expirations, HTTP2, Service Workers</t>
  </si>
  <si>
    <t>[Performance &amp; PWA] Smoke test feedback for row 39 — Service workers — install, activate, fetch, cache strategies.</t>
  </si>
  <si>
    <t>Security</t>
  </si>
  <si>
    <t xml:space="preserve">Able to explain security &amp; compliance topics like: HIPPA, GDPR, PCI, PII, XSS, CORS, MITM, CSP, CSRF, OWASP, SSL/TLS
Able to explain mechanism to secure cookies</t>
  </si>
  <si>
    <t>[Performance &amp; PWA] Smoke test feedback for row 40 — PWA — manifest, offline support, push notifications.</t>
  </si>
  <si>
    <t>Accessibility</t>
  </si>
  <si>
    <t xml:space="preserve">Understands accessibility guidelines like : A/AA/AAA/ADA/508 
Able to explain use of aria live regions for dynamic content announcement
Able to use any screen reader to access a website
Able to create accessible forms and write code adhering to meet the accessibility benchmarks</t>
  </si>
  <si>
    <t>[Performance &amp; PWA] Smoke test feedback for row 41 — Build tools — Vite config, HMR, code splitting.</t>
  </si>
  <si>
    <t>[Performance &amp; PWA] Smoke test feedback for row 42 — Performance optimization — lazy loading, critical CSS, image optimization.</t>
  </si>
  <si>
    <t>Role Awareness</t>
  </si>
  <si>
    <t>Roles and responsibilities, tech stack, nature of projects</t>
  </si>
  <si>
    <t>Awareness of the domain, organization and responsibilities of the role.</t>
  </si>
  <si>
    <t>[Performance &amp; PWA] Smoke test feedback for row 43 — Browser APIs — IntersectionObserver, ResizeObserver, MutationObserver.</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</si>
  <si>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</si>
  <si>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</si>
  <si>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</si>
  <si>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</si>
  <si>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</si>
  <si>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</si>
  <si>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</si>
  <si>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</si>
  <si>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</si>
  <si>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</si>
  <si>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</si>
  <si>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Yes</t>
  </si>
  <si>
    <t>React Specialist</t>
  </si>
  <si>
    <t>Experience Engineer L2</t>
  </si>
  <si>
    <t>Rejected</t>
  </si>
  <si>
    <t>No Experience</t>
  </si>
  <si>
    <t>No Hands on Experience</t>
  </si>
  <si>
    <t>No</t>
  </si>
  <si>
    <t>Needs Another Round</t>
  </si>
  <si>
    <t xml:space="preserve">Awareness of concepts </t>
  </si>
  <si>
    <t>Gaps in multiple categories</t>
  </si>
  <si>
    <t>Able to explain concepts theoritically</t>
  </si>
  <si>
    <t>HTML/CSS &amp; NFR</t>
  </si>
  <si>
    <t>Lead Experience Engineer</t>
  </si>
  <si>
    <t xml:space="preserve">Able to explain concepts in depth  </t>
  </si>
  <si>
    <t>Able to code with guidance</t>
  </si>
  <si>
    <t>Manager Experience Engineering</t>
  </si>
  <si>
    <t xml:space="preserve">Confident with decision making &amp; hands on </t>
  </si>
  <si>
    <t>app</t>
  </si>
  <si>
    <t>interviewly</t>
  </si>
  <si>
    <t>version</t>
  </si>
  <si>
    <t>0.1.0</t>
  </si>
  <si>
    <t>model_provider</t>
  </si>
  <si>
    <t>deepseek</t>
  </si>
  <si>
    <t>model_id</t>
  </si>
  <si>
    <t>deepseek-v4-flash</t>
  </si>
  <si>
    <t>generated_at</t>
  </si>
  <si>
    <t>2026-05-30T20:08:04.597Z</t>
  </si>
  <si>
    <t>meeting_id</t>
  </si>
  <si>
    <t>smoke-react-probeform</t>
  </si>
  <si>
    <t>transcript_sha256</t>
  </si>
  <si>
    <t>0000000000000000000000000000000000000000000000000000000000000000</t>
  </si>
  <si>
    <t>recruiter_email</t>
  </si>
  <si>
    <t>smoke@example.com</t>
  </si>
  <si>
    <t>bot_user_email</t>
  </si>
  <si>
    <t>bot@example.com</t>
  </si>
  <si>
    <t>test_mode</t>
  </si>
  <si>
    <t>false</t>
  </si>
  <si>
    <t>fixture_id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</si>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</sst>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0" tint="-0.1499984740745262"/>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rgb="FF000000"/>
      </patternFill>
    </fill>
    <fill>
      <patternFill patternType="solid">
        <fgColor rgb="FFA9D08E"/>
        <bgColor rgb="FF000000"/>
      </patternFill>
    </fill>
  </fills>
  <borders count="52">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style="medium">
        <color indexed="64"/>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diagonal/>
    </border>
    <border>
      <left style="thin"/>
      <right/>
      <top/>
      <bottom/>
      <diagonal/>
    </border>
    <border>
      <left/>
      <right style="medium">
        <color indexed="64"/>
      </right>
      <top/>
      <bottom/>
      <diagonal/>
    </border>
    <border>
      <left style="medium">
        <color indexed="64"/>
      </left>
      <right/>
      <top/>
      <bottom style="thin"/>
      <diagonal/>
    </border>
    <border>
      <left/>
      <right/>
      <top/>
      <bottom style="thin"/>
      <diagonal/>
    </border>
    <border>
      <left/>
      <right/>
      <top/>
      <bottom style="medium">
        <color indexed="64"/>
      </bottom>
      <diagonal/>
    </border>
    <border>
      <left/>
      <right style="medium">
        <color indexed="64"/>
      </right>
      <top/>
      <bottom style="medium">
        <color indexed="64"/>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bottom/>
      <diagonal/>
    </border>
    <border>
      <left style="medium">
        <color indexed="64"/>
      </left>
      <right style="thin"/>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42">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2" fillId="5" borderId="15" xfId="0" applyFont="1" applyFill="1" applyBorder="1"/>
    <xf numFmtId="0" fontId="2" fillId="6" borderId="13" xfId="0" applyFont="1" applyFill="1" applyBorder="1"/>
    <xf numFmtId="0" fontId="2" fillId="6" borderId="14" xfId="0" applyFont="1" applyFill="1" applyBorder="1"/>
    <xf numFmtId="0" fontId="2" fillId="6" borderId="15" xfId="0" applyFont="1" applyFill="1" applyBorder="1"/>
    <xf numFmtId="0" fontId="1" fillId="7" borderId="14" xfId="0" applyFont="1" applyFill="1" applyBorder="1"/>
    <xf numFmtId="0" fontId="1" fillId="8" borderId="13" xfId="0" applyFont="1" applyFill="1" applyBorder="1"/>
    <xf numFmtId="0" fontId="1" fillId="8" borderId="14" xfId="0" applyFont="1" applyFill="1" applyBorder="1"/>
    <xf numFmtId="0" fontId="1" fillId="8"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9"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4" xfId="0" applyNumberFormat="1" applyFont="1" applyFill="1" applyBorder="1"/>
    <xf numFmtId="9" fontId="2" fillId="5" borderId="15" xfId="0" applyNumberFormat="1" applyFont="1" applyFill="1" applyBorder="1"/>
    <xf numFmtId="0" fontId="2" fillId="7" borderId="14" xfId="0" applyFont="1" applyFill="1" applyBorder="1"/>
    <xf numFmtId="0" fontId="2" fillId="8" borderId="13" xfId="0" applyFont="1" applyFill="1" applyBorder="1"/>
    <xf numFmtId="0" fontId="2" fillId="8" borderId="14" xfId="0" applyFont="1" applyFill="1" applyBorder="1"/>
    <xf numFmtId="0" fontId="2" fillId="8"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10" borderId="17" xfId="0" applyFont="1" applyFill="1" applyBorder="1" applyAlignment="1" applyProtection="1">
      <alignment horizontal="left" vertical="center" wrapText="1"/>
      <protection hidden="1"/>
    </xf>
    <xf numFmtId="0" fontId="3" fillId="9"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10"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9"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1" borderId="13" xfId="0" applyFont="1" applyFill="1" applyBorder="1" applyAlignment="1">
      <alignment horizontal="left" vertical="center" wrapText="1"/>
    </xf>
    <xf numFmtId="0" fontId="4" fillId="11" borderId="14" xfId="0" applyFont="1" applyFill="1" applyBorder="1" applyAlignment="1">
      <alignment horizontal="left" vertical="center" wrapText="1"/>
    </xf>
    <xf numFmtId="0" fontId="4" fillId="11" borderId="14" xfId="0" applyFont="1" applyFill="1" applyBorder="1" applyAlignment="1" applyProtection="1">
      <alignment horizontal="left" vertical="top" wrapText="1"/>
      <protection locked="0"/>
    </xf>
    <xf numFmtId="0" fontId="4" fillId="11" borderId="15" xfId="0" applyFont="1" applyFill="1" applyBorder="1" applyAlignment="1" applyProtection="1">
      <alignment horizontal="left" vertical="top" wrapText="1"/>
      <protection locked="0"/>
    </xf>
    <xf numFmtId="0" fontId="5" fillId="12" borderId="30" xfId="0" applyFont="1" applyFill="1" applyBorder="1" applyAlignment="1">
      <alignment horizontal="left" vertical="center" wrapText="1"/>
    </xf>
    <xf numFmtId="0" fontId="5" fillId="12" borderId="31" xfId="0" applyFont="1" applyFill="1" applyBorder="1" applyAlignment="1">
      <alignment horizontal="left" vertical="center" wrapText="1"/>
    </xf>
    <xf numFmtId="0" fontId="5" fillId="12" borderId="32" xfId="0" applyFont="1" applyFill="1" applyBorder="1" applyAlignment="1" applyProtection="1">
      <alignment horizontal="left" vertical="top" wrapText="1"/>
      <protection locked="0"/>
    </xf>
    <xf numFmtId="0" fontId="5" fillId="12" borderId="33" xfId="0" applyFont="1" applyFill="1" applyBorder="1" applyAlignment="1" applyProtection="1">
      <alignment horizontal="left" vertical="top" wrapText="1"/>
      <protection locked="0"/>
    </xf>
    <xf numFmtId="0" fontId="1" fillId="10" borderId="13" xfId="0" applyFont="1" applyFill="1" applyBorder="1" applyAlignment="1">
      <alignment vertical="center" wrapText="1"/>
    </xf>
    <xf numFmtId="0" fontId="1" fillId="13" borderId="34" xfId="0" applyFont="1" applyFill="1" applyBorder="1" applyAlignment="1" applyProtection="1">
      <alignment vertical="center" wrapText="1"/>
      <protection locked="0"/>
    </xf>
    <xf numFmtId="49" fontId="2" fillId="13" borderId="34" xfId="0" applyNumberFormat="1" applyFont="1" applyFill="1" applyBorder="1" applyAlignment="1">
      <alignment horizontal="left" vertical="top" wrapText="1"/>
    </xf>
    <xf numFmtId="49" fontId="2" fillId="13" borderId="35" xfId="0" applyNumberFormat="1" applyFont="1" applyFill="1" applyBorder="1" applyAlignment="1">
      <alignment horizontal="left" vertical="top" wrapText="1"/>
    </xf>
    <xf numFmtId="0" fontId="2" fillId="0" borderId="0" xfId="0" applyFont="1" applyAlignment="1">
      <alignment horizontal="left" vertical="center"/>
    </xf>
    <xf numFmtId="0" fontId="1" fillId="14" borderId="36" xfId="0" applyFont="1" applyFill="1" applyBorder="1" applyAlignment="1">
      <alignment horizontal="left" vertical="center"/>
    </xf>
    <xf numFmtId="0" fontId="1" fillId="14" borderId="13" xfId="0" applyFont="1" applyFill="1" applyBorder="1" applyAlignment="1">
      <alignment horizontal="left" vertical="center" wrapText="1"/>
    </xf>
    <xf numFmtId="0" fontId="1" fillId="14" borderId="14" xfId="0" applyFont="1" applyFill="1" applyBorder="1" applyAlignment="1">
      <alignment horizontal="left" vertical="center" wrapText="1"/>
    </xf>
    <xf numFmtId="0" fontId="1" fillId="14" borderId="15" xfId="0" applyFont="1" applyFill="1" applyBorder="1" applyAlignment="1">
      <alignment horizontal="left" vertical="center" wrapText="1"/>
    </xf>
    <xf numFmtId="0" fontId="1" fillId="14" borderId="36" xfId="0" applyFont="1" applyFill="1" applyBorder="1" applyAlignment="1">
      <alignment horizontal="left" vertical="center" wrapText="1"/>
    </xf>
    <xf numFmtId="0" fontId="1" fillId="14" borderId="13" xfId="0" applyFont="1" applyFill="1" applyBorder="1" applyAlignment="1">
      <alignment horizontal="left" vertical="center"/>
    </xf>
    <xf numFmtId="0" fontId="1" fillId="14" borderId="14" xfId="0" applyFont="1" applyFill="1" applyBorder="1" applyAlignment="1">
      <alignment horizontal="left" vertical="center"/>
    </xf>
    <xf numFmtId="0" fontId="1" fillId="14" borderId="15" xfId="0" applyFont="1" applyFill="1" applyBorder="1" applyAlignment="1">
      <alignment horizontal="left" vertical="center"/>
    </xf>
    <xf numFmtId="0" fontId="1" fillId="11" borderId="13" xfId="0" applyFont="1" applyFill="1" applyBorder="1" applyAlignment="1">
      <alignment horizontal="center" vertical="center"/>
    </xf>
    <xf numFmtId="0" fontId="1" fillId="11" borderId="37" xfId="0" applyFont="1" applyFill="1" applyBorder="1" applyAlignment="1">
      <alignment horizontal="center" vertical="center"/>
    </xf>
    <xf numFmtId="0" fontId="1" fillId="11" borderId="37" xfId="0" applyFont="1" applyFill="1" applyBorder="1" applyAlignment="1">
      <alignment vertical="center"/>
    </xf>
    <xf numFmtId="0" fontId="1" fillId="11"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6" borderId="38" xfId="0" applyFont="1" applyFill="1" applyBorder="1" applyAlignment="1">
      <alignment horizontal="left" vertical="top" wrapText="1"/>
    </xf>
    <xf numFmtId="0" fontId="2" fillId="6" borderId="40" xfId="0" applyFont="1" applyFill="1" applyBorder="1" applyAlignment="1">
      <alignment horizontal="left" vertical="center" wrapText="1"/>
    </xf>
    <xf numFmtId="0" fontId="2" fillId="6" borderId="34" xfId="0" applyFont="1" applyFill="1" applyBorder="1" applyAlignment="1">
      <alignment horizontal="left" vertical="center" wrapText="1"/>
    </xf>
    <xf numFmtId="0" fontId="2" fillId="6" borderId="35" xfId="0" applyFont="1" applyFill="1" applyBorder="1" applyAlignment="1">
      <alignment horizontal="left" vertical="center" wrapText="1"/>
    </xf>
    <xf numFmtId="0" fontId="2" fillId="3" borderId="41" xfId="0" applyFont="1" applyFill="1" applyBorder="1" applyAlignment="1" applyProtection="1">
      <alignment horizontal="left" vertical="center" wrapText="1"/>
      <protection locked="0"/>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6" borderId="43" xfId="0" applyFont="1" applyFill="1" applyBorder="1" applyAlignment="1">
      <alignment horizontal="left" vertical="top" wrapText="1"/>
    </xf>
    <xf numFmtId="0" fontId="2" fillId="3" borderId="43"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6" borderId="13" xfId="0" applyFont="1" applyFill="1" applyBorder="1" applyAlignment="1">
      <alignment horizontal="left" vertical="center" wrapText="1"/>
    </xf>
    <xf numFmtId="0" fontId="2" fillId="6" borderId="14" xfId="0" applyFont="1" applyFill="1" applyBorder="1" applyAlignment="1">
      <alignment horizontal="left" vertical="center" wrapText="1"/>
    </xf>
    <xf numFmtId="0" fontId="2" fillId="6" borderId="15" xfId="0" applyFont="1" applyFill="1" applyBorder="1" applyAlignment="1">
      <alignment horizontal="left" vertical="center" wrapText="1"/>
    </xf>
    <xf numFmtId="0" fontId="2" fillId="3" borderId="44" xfId="0" applyFont="1" applyFill="1" applyBorder="1" applyAlignment="1" applyProtection="1">
      <alignment horizontal="left" vertical="top" wrapText="1"/>
      <protection locked="0"/>
    </xf>
    <xf numFmtId="0" fontId="2" fillId="3" borderId="32" xfId="0" applyFont="1" applyFill="1" applyBorder="1" applyAlignment="1" applyProtection="1">
      <alignment horizontal="left" vertical="top" wrapText="1"/>
      <protection locked="0"/>
    </xf>
    <xf numFmtId="0" fontId="2" fillId="3" borderId="33" xfId="0" applyFont="1" applyFill="1" applyBorder="1" applyAlignment="1" applyProtection="1">
      <alignment horizontal="left" vertical="top" wrapText="1"/>
      <protection locked="0"/>
    </xf>
    <xf numFmtId="0" fontId="1" fillId="6" borderId="36" xfId="0" applyFont="1" applyFill="1" applyBorder="1" applyAlignment="1">
      <alignment vertical="top"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1" fillId="11" borderId="3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14" xfId="0" applyFont="1" applyFill="1" applyBorder="1" applyAlignment="1">
      <alignment vertical="center"/>
    </xf>
    <xf numFmtId="0" fontId="1" fillId="11" borderId="13" xfId="0" applyFont="1" applyFill="1" applyBorder="1" applyAlignment="1">
      <alignment horizontal="right" vertical="center"/>
    </xf>
    <xf numFmtId="1" fontId="1" fillId="0" borderId="36" xfId="0" applyNumberFormat="1" applyFont="1" applyBorder="1" applyAlignment="1">
      <alignment horizontal="left" vertical="center" indent="1"/>
    </xf>
    <xf numFmtId="0" fontId="1" fillId="6" borderId="39" xfId="0" applyFont="1" applyFill="1" applyBorder="1" applyAlignment="1">
      <alignment horizontal="left" vertical="top" wrapText="1"/>
    </xf>
    <xf numFmtId="0" fontId="1" fillId="6" borderId="45" xfId="0" applyFont="1" applyFill="1" applyBorder="1" applyAlignment="1">
      <alignment horizontal="left" vertical="top" wrapText="1"/>
    </xf>
    <xf numFmtId="0" fontId="1" fillId="6" borderId="46" xfId="0" applyFont="1" applyFill="1" applyBorder="1" applyAlignment="1">
      <alignment horizontal="left" vertical="top" wrapText="1"/>
    </xf>
    <xf numFmtId="0" fontId="1" fillId="6" borderId="47" xfId="0" applyFont="1" applyFill="1" applyBorder="1" applyAlignment="1">
      <alignment horizontal="left" vertical="top" wrapText="1"/>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36" xfId="0" applyFont="1" applyFill="1" applyBorder="1" applyAlignment="1" applyProtection="1">
      <alignment horizontal="left" vertical="center" wrapText="1"/>
      <protection locked="0"/>
    </xf>
    <xf numFmtId="0" fontId="1" fillId="6" borderId="48" xfId="0" applyFont="1" applyFill="1" applyBorder="1" applyAlignment="1">
      <alignment horizontal="left" vertical="top"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36" xfId="0" applyNumberFormat="1" applyFont="1" applyBorder="1" applyAlignment="1">
      <alignment horizontal="left" vertical="center" indent="1"/>
    </xf>
    <xf numFmtId="0" fontId="3" fillId="16" borderId="44" xfId="0" applyFont="1" applyFill="1" applyBorder="1" applyAlignment="1">
      <alignment horizontal="center" vertical="center"/>
    </xf>
    <xf numFmtId="0" fontId="2" fillId="6" borderId="13" xfId="0" applyFont="1" applyFill="1" applyBorder="1" applyAlignment="1">
      <alignment horizontal="left" vertical="top" wrapText="1"/>
    </xf>
    <xf numFmtId="0" fontId="2" fillId="6" borderId="14" xfId="0" applyFont="1" applyFill="1" applyBorder="1" applyAlignment="1">
      <alignment horizontal="left" vertical="top" wrapText="1"/>
    </xf>
    <xf numFmtId="0" fontId="2" fillId="6" borderId="15" xfId="0" applyFont="1" applyFill="1" applyBorder="1" applyAlignment="1">
      <alignment horizontal="left" vertical="top" wrapText="1"/>
    </xf>
    <xf numFmtId="0" fontId="2" fillId="6" borderId="49" xfId="0" applyFont="1" applyFill="1" applyBorder="1" applyAlignment="1">
      <alignment horizontal="left" vertical="top" wrapText="1"/>
    </xf>
    <xf numFmtId="0" fontId="3" fillId="16" borderId="15" xfId="0" applyFont="1" applyFill="1" applyBorder="1" applyAlignment="1">
      <alignment horizontal="center" vertical="center"/>
    </xf>
    <xf numFmtId="0" fontId="3" fillId="6" borderId="50" xfId="0" applyFont="1" applyFill="1" applyBorder="1" applyAlignment="1">
      <alignment horizontal="left" vertical="top" wrapText="1"/>
    </xf>
    <xf numFmtId="0" fontId="2" fillId="6" borderId="51" xfId="0" applyFont="1" applyFill="1" applyBorder="1" applyAlignment="1">
      <alignment vertical="top" wrapText="1"/>
    </xf>
    <xf numFmtId="0" fontId="2" fillId="6" borderId="5" xfId="0" applyFont="1" applyFill="1" applyBorder="1" applyAlignment="1">
      <alignment vertical="top" wrapText="1"/>
    </xf>
    <xf numFmtId="0" fontId="3" fillId="6" borderId="13" xfId="0" applyFont="1" applyFill="1" applyBorder="1" applyAlignment="1">
      <alignment horizontal="left" vertical="center" wrapText="1"/>
    </xf>
    <xf numFmtId="0" fontId="3" fillId="6" borderId="14" xfId="0" applyFont="1" applyFill="1" applyBorder="1" applyAlignment="1">
      <alignment horizontal="left" vertical="center" wrapText="1"/>
    </xf>
    <xf numFmtId="0" fontId="3" fillId="6" borderId="15" xfId="0" applyFont="1" applyFill="1" applyBorder="1" applyAlignment="1">
      <alignment horizontal="left" vertical="center" wrapText="1"/>
    </xf>
    <xf numFmtId="0" fontId="2" fillId="10" borderId="0" xfId="0" applyFont="1" applyFill="1"/>
    <xf numFmtId="0" fontId="2" fillId="0" borderId="0" xfId="0" applyFont="1" applyAlignment="1">
      <alignment horizontal="left"/>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C44"/>
  <sheetViews>
    <sheetView workbookViewId="0" zoomScale="125" zoomScaleNormal="150">
      <selection activeCell="AE26" sqref="AE26"/>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1" width="6.83203125" hidden="1" customWidth="1"/>
    <col min="12" max="12" width="10.83203125" hidden="1" customWidth="1"/>
    <col min="13" max="13" width="12.5" hidden="1" customWidth="1"/>
    <col min="14" max="16" width="10.83203125" hidden="1" customWidth="1"/>
    <col min="17" max="17" width="12.83203125" hidden="1" customWidth="1"/>
    <col min="18" max="18" width="10.83203125" hidden="1" customWidth="1"/>
    <col min="19" max="19" width="9.83203125" hidden="1" customWidth="1"/>
    <col min="20" max="20" width="14.1640625" hidden="1" customWidth="1"/>
    <col min="21" max="21" width="13.5" hidden="1" customWidth="1"/>
    <col min="22" max="26" width="10.83203125" hidden="1" customWidth="1"/>
    <col min="27" max="27" width="13.33203125" hidden="1" customWidth="1"/>
    <col min="28" max="28" width="11.5" hidden="1" customWidth="1"/>
    <col min="29" max="29" width="6.332031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9" x14ac:dyDescent="0.25">
      <c r="B4" s="7" t="s">
        <v>1</v>
      </c>
      <c r="C4" s="8" t="s">
        <v>2</v>
      </c>
      <c r="D4" s="9"/>
      <c r="E4" s="10" t="s">
        <v>3</v>
      </c>
      <c r="F4" s="11" t="s">
        <v>4</v>
      </c>
      <c r="G4" s="12"/>
      <c r="H4" s="13" t="s">
        <v>5</v>
      </c>
      <c r="I4" s="8" t="s">
        <v>6</v>
      </c>
      <c r="J4" s="14"/>
      <c r="M4" s="15" t="s">
        <v>7</v>
      </c>
      <c r="N4" s="16" t="s">
        <v>8</v>
      </c>
      <c r="O4" s="16" t="s">
        <v>9</v>
      </c>
      <c r="P4" s="16" t="s">
        <v>10</v>
      </c>
      <c r="Q4" s="17" t="s">
        <v>11</v>
      </c>
      <c r="R4" s="18" t="s">
        <v>12</v>
      </c>
      <c r="S4" s="19" t="s">
        <v>13</v>
      </c>
      <c r="T4" s="19" t="s">
        <v>14</v>
      </c>
      <c r="U4" s="20" t="s">
        <v>15</v>
      </c>
      <c r="V4" s="21" t="s">
        <v>16</v>
      </c>
      <c r="W4" s="21" t="s">
        <v>17</v>
      </c>
      <c r="X4" s="21" t="s">
        <v>18</v>
      </c>
      <c r="Y4" s="21" t="s">
        <v>19</v>
      </c>
      <c r="Z4" s="21" t="s">
        <v>20</v>
      </c>
      <c r="AA4" s="22" t="s">
        <v>21</v>
      </c>
      <c r="AB4" s="23" t="s">
        <v>8</v>
      </c>
      <c r="AC4" s="24" t="s">
        <v>11</v>
      </c>
    </row>
    <row r="5" ht="22" customHeight="1" spans="2:29" x14ac:dyDescent="0.25">
      <c r="B5" s="25" t="s">
        <v>22</v>
      </c>
      <c r="C5" s="26">
        <v>7</v>
      </c>
      <c r="D5" s="27"/>
      <c r="E5" s="28" t="s">
        <v>23</v>
      </c>
      <c r="F5" s="29" t="s">
        <v>24</v>
      </c>
      <c r="G5" s="30"/>
      <c r="H5" s="31" t="s">
        <v>25</v>
      </c>
      <c r="I5" s="32" t="s">
        <v>26</v>
      </c>
      <c r="J5" s="33"/>
      <c r="M5" s="15" t="str">
        <f>L13</f>
        <v>No Experience</v>
      </c>
      <c r="N5" s="34" t="str">
        <f>L20</f>
        <v>Rejected</v>
      </c>
      <c r="O5" s="34" t="str">
        <f>L27</f>
        <v>Rejected</v>
      </c>
      <c r="P5" s="34" t="str">
        <f>L35</f>
        <v>-</v>
      </c>
      <c r="Q5" s="35" t="str">
        <f>L38</f>
        <v>No Experience</v>
      </c>
      <c r="R5" s="18">
        <f>COUNTIF(M5:Q5,"SAL2")</f>
        <v>0</v>
      </c>
      <c r="S5" s="19">
        <f>COUNTIF(M5:Q5,"SAL1")+COUNTIF(M5:Q5,"Sr Associate")</f>
        <v>0</v>
      </c>
      <c r="T5" s="19">
        <f>COUNTIF(M5:P5,"Associate")+COUNTIF(M5:P5,"AL2")+COUNTIF(M5:P5,"AL1")</f>
        <v>0</v>
      </c>
      <c r="U5" s="20">
        <f>COUNTIF(N5:O5,"REJECTED")</f>
        <v>2</v>
      </c>
      <c r="V5" s="36" t="b">
        <f>U5&gt;0</f>
        <v>1</v>
      </c>
      <c r="W5" s="36" t="b">
        <f>AND(R5&gt;=3,O5="SAL2",T5=0,NOT(V5))</f>
        <v>0</v>
      </c>
      <c r="X5" s="36" t="b">
        <f>AND(OR(AND(O5="SAL1",N5&lt;&gt;"AL1",N5&lt;&gt;"AL2"),AND(O5="SAL2",N5&lt;&gt;"AL1")),NOT(V5),NOT(W5))</f>
        <v>0</v>
      </c>
      <c r="Y5" s="36" t="b">
        <f>AND(N5="AL1",O5="Associate",Q5="No Experience",NOT(V5),NOT(W5),NOT(X5))</f>
        <v>0</v>
      </c>
      <c r="Z5" s="36" t="b">
        <f>AND(NOT(V5),NOT(W5),NOT(X5),NOT(Y5))</f>
        <v>0</v>
      </c>
      <c r="AA5" s="37" t="str">
        <f>IF(V5,"REJECTED",IF(W5,"Lead Experience Engineer",IF(X5,"Senior Experience Engineer",IF(Y5,"Experience Engineer L1",IF(Z5,"Experience Engineer L2","Thinking")))))</f>
        <v>REJECTED</v>
      </c>
      <c r="AB5" s="38" t="b">
        <f>OR(AND(AA5="AL2",N5="AL1"),AND(AA5="SAL1",N5="AL2"),AND(AA5="SAL2",N5="SAL1"))</f>
        <v>0</v>
      </c>
      <c r="AC5" s="39" t="b">
        <f>AND(NOT(V5),OR(Q5="No Experience",AND(OR(AA5="SAL1",AA5="SAL2"),Q5="Associate")))</f>
        <v>0</v>
      </c>
    </row>
    <row r="6" ht="22" customHeight="1" spans="2:10" x14ac:dyDescent="0.25">
      <c r="B6" s="25" t="s">
        <v>27</v>
      </c>
      <c r="C6" s="40">
        <v>5</v>
      </c>
      <c r="D6" s="27"/>
      <c r="E6" s="41" t="s">
        <v>28</v>
      </c>
      <c r="F6" s="29"/>
      <c r="G6" s="30"/>
      <c r="H6" s="42" t="s">
        <v>29</v>
      </c>
      <c r="I6" s="29"/>
      <c r="J6" s="43"/>
    </row>
    <row r="7" ht="22" customHeight="1" spans="2:10" x14ac:dyDescent="0.25">
      <c r="B7" s="25" t="s">
        <v>30</v>
      </c>
      <c r="C7" s="29" t="s">
        <v>26</v>
      </c>
      <c r="D7" s="27"/>
      <c r="E7" s="41" t="s">
        <v>31</v>
      </c>
      <c r="F7" s="44" t="str">
        <f>AA5</f>
        <v>REJECTED</v>
      </c>
      <c r="G7" s="30"/>
      <c r="H7" s="45" t="s">
        <v>32</v>
      </c>
      <c r="I7" s="46"/>
      <c r="J7" s="47"/>
    </row>
    <row r="8" ht="22" customHeight="1" spans="2:10" x14ac:dyDescent="0.25">
      <c r="B8" s="48" t="s">
        <v>33</v>
      </c>
      <c r="C8" s="49" t="s">
        <v>34</v>
      </c>
      <c r="D8" s="50"/>
      <c r="E8" s="51" t="s">
        <v>35</v>
      </c>
      <c r="F8" s="52" t="str">
        <f>IF(AB5,IF(AC5,"HTML/CSS &amp; NFR ","HTML/CSS"),IF(AC5,"NFR","No trainings required"))</f>
        <v>No trainings required</v>
      </c>
      <c r="G8" s="53"/>
      <c r="H8" s="54"/>
      <c r="I8" s="55"/>
      <c r="J8" s="56"/>
    </row>
    <row r="9" ht="33" customHeight="1" spans="2:10" x14ac:dyDescent="0.25">
      <c r="B9" s="57" t="s">
        <v>36</v>
      </c>
      <c r="C9" s="58"/>
      <c r="D9" s="59" t="s">
        <v>37</v>
      </c>
      <c r="E9" s="59"/>
      <c r="F9" s="59"/>
      <c r="G9" s="59"/>
      <c r="H9" s="59"/>
      <c r="I9" s="59"/>
      <c r="J9" s="60"/>
    </row>
    <row r="10" ht="33" customHeight="1" spans="2:10" x14ac:dyDescent="0.25">
      <c r="B10" s="61" t="s">
        <v>38</v>
      </c>
      <c r="C10" s="62"/>
      <c r="D10" s="63"/>
      <c r="E10" s="63"/>
      <c r="F10" s="63"/>
      <c r="G10" s="63"/>
      <c r="H10" s="63"/>
      <c r="I10" s="63"/>
      <c r="J10" s="64"/>
    </row>
    <row r="11" ht="72" customHeight="1" spans="2:10" x14ac:dyDescent="0.25">
      <c r="B11" s="65" t="s">
        <v>39</v>
      </c>
      <c r="C11" s="66" t="s">
        <v>40</v>
      </c>
      <c r="D11" s="67" t="str">
        <f>IFERROR(VLOOKUP(C11,'Core Exercise'!A1:B8,2,FALSE),"Choose the exercise from left side column")</f>
        <v>Create a vanilla JS application that consumes the https://pokeapi.co/api/v2/pokemon/ API and displays a dropdown list of pokemons. When the user selects a pokemon from the dropdown, the application should make a second API call using the "url" returned in the first API call to fetch the pokemon's details, including its abilities, and display them on the page. Once the details are fetched, they should be cached and the application should not make another API call for that pokemon again.</v>
      </c>
      <c r="E11" s="67"/>
      <c r="F11" s="67"/>
      <c r="G11" s="67"/>
      <c r="H11" s="67"/>
      <c r="I11" s="67"/>
      <c r="J11" s="68"/>
    </row>
    <row r="12" ht="22" customHeight="1" spans="2:10" s="69" customFormat="1" x14ac:dyDescent="0.25">
      <c r="B12" s="70" t="s">
        <v>41</v>
      </c>
      <c r="C12" s="71" t="s">
        <v>42</v>
      </c>
      <c r="D12" s="72"/>
      <c r="E12" s="73"/>
      <c r="F12" s="74" t="s">
        <v>43</v>
      </c>
      <c r="G12" s="75" t="s">
        <v>44</v>
      </c>
      <c r="H12" s="76"/>
      <c r="I12" s="76"/>
      <c r="J12" s="77"/>
    </row>
    <row r="13" ht="40" customHeight="1" spans="2:12" x14ac:dyDescent="0.25">
      <c r="B13" s="78" t="s">
        <v>45</v>
      </c>
      <c r="C13" s="79"/>
      <c r="D13" s="79"/>
      <c r="E13" s="79"/>
      <c r="F13" s="79"/>
      <c r="G13" s="80"/>
      <c r="H13" s="80"/>
      <c r="I13" s="81" t="s">
        <v>46</v>
      </c>
      <c r="J13" s="82">
        <f>AVERAGE(K14:K19)/3*100</f>
        <v>0</v>
      </c>
      <c r="K13" s="83"/>
      <c r="L13" t="str">
        <f>IF(J13&lt;10, "No Experience", "SAL2")</f>
        <v>No Experience</v>
      </c>
    </row>
    <row r="14" ht="55" customHeight="1" spans="2:11" x14ac:dyDescent="0.25">
      <c r="B14" s="84" t="s">
        <v>7</v>
      </c>
      <c r="C14" s="85" t="s">
        <v>47</v>
      </c>
      <c r="D14" s="86"/>
      <c r="E14" s="87"/>
      <c r="F14" s="88" t="s">
        <v>48</v>
      </c>
      <c r="G14" s="89" t="s">
        <v>49</v>
      </c>
      <c r="H14" s="90"/>
      <c r="I14" s="90"/>
      <c r="J14" s="91"/>
      <c r="K14">
        <f>VLOOKUP(F14,Data!$D$3:$G$7,4,FALSE)</f>
        <v>0</v>
      </c>
    </row>
    <row r="15" ht="36" customHeight="1" spans="2:11" x14ac:dyDescent="0.25">
      <c r="B15" s="92"/>
      <c r="C15" s="85" t="s">
        <v>50</v>
      </c>
      <c r="D15" s="86"/>
      <c r="E15" s="87"/>
      <c r="F15" s="88" t="s">
        <v>51</v>
      </c>
      <c r="G15" s="93"/>
      <c r="H15" s="94"/>
      <c r="I15" s="94"/>
      <c r="J15" s="95"/>
      <c r="K15">
        <f>VLOOKUP(F15,Data!$D$3:$G$7,4,FALSE)</f>
        <v>0</v>
      </c>
    </row>
    <row r="16" ht="37" customHeight="1" spans="2:11" x14ac:dyDescent="0.25">
      <c r="B16" s="92"/>
      <c r="C16" s="85" t="s">
        <v>52</v>
      </c>
      <c r="D16" s="86"/>
      <c r="E16" s="87"/>
      <c r="F16" s="88" t="s">
        <v>51</v>
      </c>
      <c r="G16" s="93"/>
      <c r="H16" s="94"/>
      <c r="I16" s="94"/>
      <c r="J16" s="95"/>
      <c r="K16">
        <f>VLOOKUP(F16,Data!$D$3:$G$7,4,FALSE)</f>
        <v>0</v>
      </c>
    </row>
    <row r="17" ht="51" customHeight="1" spans="2:11" x14ac:dyDescent="0.25">
      <c r="B17" s="92"/>
      <c r="C17" s="96" t="s">
        <v>53</v>
      </c>
      <c r="D17" s="97"/>
      <c r="E17" s="98"/>
      <c r="F17" s="88" t="s">
        <v>51</v>
      </c>
      <c r="G17" s="93"/>
      <c r="H17" s="94"/>
      <c r="I17" s="94"/>
      <c r="J17" s="95"/>
      <c r="K17">
        <f>VLOOKUP(F17,Data!$D$3:$G$7,4,FALSE)</f>
        <v>0</v>
      </c>
    </row>
    <row r="18" ht="40" customHeight="1" spans="2:11" x14ac:dyDescent="0.25">
      <c r="B18" s="92"/>
      <c r="C18" s="85" t="s">
        <v>54</v>
      </c>
      <c r="D18" s="86"/>
      <c r="E18" s="87"/>
      <c r="F18" s="88" t="s">
        <v>51</v>
      </c>
      <c r="G18" s="99"/>
      <c r="H18" s="100"/>
      <c r="I18" s="100"/>
      <c r="J18" s="101"/>
      <c r="K18">
        <f>VLOOKUP(F18,Data!$D$3:$G$7,4,FALSE)</f>
        <v>0</v>
      </c>
    </row>
    <row r="19" ht="86" customHeight="1" spans="2:11" x14ac:dyDescent="0.25">
      <c r="B19" s="102" t="s">
        <v>55</v>
      </c>
      <c r="C19" s="103" t="s">
        <v>56</v>
      </c>
      <c r="D19" s="104"/>
      <c r="E19" s="105"/>
      <c r="F19" s="88" t="s">
        <v>48</v>
      </c>
      <c r="G19" s="106" t="s">
        <v>57</v>
      </c>
      <c r="H19" s="107"/>
      <c r="I19" s="107"/>
      <c r="J19" s="108"/>
      <c r="K19">
        <f>VLOOKUP(F19,Data!$D$3:$G$7,4,FALSE)</f>
        <v>0</v>
      </c>
    </row>
    <row r="20" ht="40" customHeight="1" spans="2:14" x14ac:dyDescent="0.25">
      <c r="B20" s="78" t="s">
        <v>48</v>
      </c>
      <c r="C20" s="109"/>
      <c r="D20" s="109"/>
      <c r="E20" s="109"/>
      <c r="F20" s="110"/>
      <c r="G20" s="111" t="s">
        <v>58</v>
      </c>
      <c r="H20" s="111"/>
      <c r="I20" s="112" t="s">
        <v>46</v>
      </c>
      <c r="J20" s="113">
        <f>AVERAGE(K21:K26)/3*100</f>
        <v>0</v>
      </c>
      <c r="K20" s="83"/>
      <c r="L20" s="83" t="str">
        <f>IF(J20&lt;30,"Rejected",IF(J20&lt;40,"AL1",IF(J20&lt;60,"AL2",IF(J20&lt;70,"SAL1","SAL2"))))</f>
        <v>Rejected</v>
      </c>
      <c r="M20" s="83"/>
      <c r="N20" s="83"/>
    </row>
    <row r="21" ht="18" customHeight="1" spans="2:11" x14ac:dyDescent="0.25">
      <c r="B21" s="114" t="s">
        <v>59</v>
      </c>
      <c r="C21" s="96" t="s">
        <v>60</v>
      </c>
      <c r="D21" s="97"/>
      <c r="E21" s="98"/>
      <c r="F21" s="88" t="s">
        <v>61</v>
      </c>
      <c r="G21" s="89" t="s">
        <v>62</v>
      </c>
      <c r="H21" s="90"/>
      <c r="I21" s="90"/>
      <c r="J21" s="91"/>
      <c r="K21">
        <f>VLOOKUP(F21,Data!$F$3:$G$7,2,FALSE)</f>
        <v>0</v>
      </c>
    </row>
    <row r="22" ht="41" customHeight="1" spans="2:11" x14ac:dyDescent="0.25">
      <c r="B22" s="115"/>
      <c r="C22" s="96" t="s">
        <v>63</v>
      </c>
      <c r="D22" s="97"/>
      <c r="E22" s="98"/>
      <c r="F22" s="88" t="s">
        <v>51</v>
      </c>
      <c r="G22" s="93"/>
      <c r="H22" s="94"/>
      <c r="I22" s="94"/>
      <c r="J22" s="95"/>
      <c r="K22">
        <f>VLOOKUP(F22,Data!$F$3:$G$7,2,FALSE)</f>
        <v>0</v>
      </c>
    </row>
    <row r="23" ht="38" customHeight="1" spans="2:11" x14ac:dyDescent="0.25">
      <c r="B23" s="116"/>
      <c r="C23" s="96" t="s">
        <v>64</v>
      </c>
      <c r="D23" s="97"/>
      <c r="E23" s="98"/>
      <c r="F23" s="88" t="s">
        <v>51</v>
      </c>
      <c r="G23" s="99"/>
      <c r="H23" s="100"/>
      <c r="I23" s="100"/>
      <c r="J23" s="101"/>
      <c r="K23">
        <f>VLOOKUP(F23,Data!$F$3:$G$7,2,FALSE)</f>
        <v>0</v>
      </c>
    </row>
    <row r="24" ht="39" customHeight="1" spans="2:11" x14ac:dyDescent="0.25">
      <c r="B24" s="117" t="s">
        <v>65</v>
      </c>
      <c r="C24" s="118" t="s">
        <v>66</v>
      </c>
      <c r="D24" s="119"/>
      <c r="E24" s="120"/>
      <c r="F24" s="121" t="s">
        <v>51</v>
      </c>
      <c r="G24" s="90" t="s">
        <v>67</v>
      </c>
      <c r="H24" s="90"/>
      <c r="I24" s="90"/>
      <c r="J24" s="91"/>
      <c r="K24">
        <f>VLOOKUP(F24,Data!$F$3:$G$7,2,FALSE)</f>
        <v>0</v>
      </c>
    </row>
    <row r="25" ht="55" customHeight="1" spans="2:11" x14ac:dyDescent="0.25">
      <c r="B25" s="117"/>
      <c r="C25" s="118" t="s">
        <v>68</v>
      </c>
      <c r="D25" s="119"/>
      <c r="E25" s="120"/>
      <c r="F25" s="121" t="s">
        <v>51</v>
      </c>
      <c r="G25" s="94"/>
      <c r="H25" s="94"/>
      <c r="I25" s="94"/>
      <c r="J25" s="95"/>
      <c r="K25">
        <f>VLOOKUP(F25,Data!$F$3:$G$7,2,FALSE)</f>
        <v>0</v>
      </c>
    </row>
    <row r="26" ht="54" customHeight="1" spans="2:11" x14ac:dyDescent="0.25">
      <c r="B26" s="122"/>
      <c r="C26" s="118" t="s">
        <v>69</v>
      </c>
      <c r="D26" s="119"/>
      <c r="E26" s="120"/>
      <c r="F26" s="121" t="s">
        <v>48</v>
      </c>
      <c r="G26" s="100"/>
      <c r="H26" s="100"/>
      <c r="I26" s="100"/>
      <c r="J26" s="101"/>
      <c r="K26">
        <f>VLOOKUP(F26,Data!$F$3:$G$7,2,FALSE)</f>
        <v>0</v>
      </c>
    </row>
    <row r="27" ht="40" customHeight="1" spans="2:12" x14ac:dyDescent="0.25">
      <c r="B27" s="123" t="s">
        <v>48</v>
      </c>
      <c r="C27" s="124"/>
      <c r="D27" s="124"/>
      <c r="E27" s="124"/>
      <c r="F27" s="124"/>
      <c r="G27" s="125" t="s">
        <v>70</v>
      </c>
      <c r="H27" s="125"/>
      <c r="I27" s="126" t="s">
        <v>46</v>
      </c>
      <c r="J27" s="127">
        <f>(SUM(K28:K34)/(5*3))*100</f>
        <v>0</v>
      </c>
      <c r="K27" s="83"/>
      <c r="L27" s="83" t="str">
        <f>IF(J27&lt;40,"Rejected",IF(J27&lt;60,"Associate",IF(J27&lt;70,"SAL1",IF(K31&gt;=1,"SAL2","SAL1"))))</f>
        <v>Rejected</v>
      </c>
    </row>
    <row r="28" ht="89" customHeight="1" spans="2:11" x14ac:dyDescent="0.25">
      <c r="B28" s="114" t="s">
        <v>71</v>
      </c>
      <c r="C28" s="103" t="s">
        <v>72</v>
      </c>
      <c r="D28" s="104"/>
      <c r="E28" s="105"/>
      <c r="F28" s="121" t="s">
        <v>48</v>
      </c>
      <c r="G28" s="89" t="s">
        <v>73</v>
      </c>
      <c r="H28" s="90"/>
      <c r="I28" s="90"/>
      <c r="J28" s="91"/>
      <c r="K28">
        <f>VLOOKUP(F28,Data!$F$3:$G$7,2,FALSE)</f>
        <v>0</v>
      </c>
    </row>
    <row r="29" ht="102" customHeight="1" spans="2:11" x14ac:dyDescent="0.25">
      <c r="B29" s="115"/>
      <c r="C29" s="103" t="s">
        <v>74</v>
      </c>
      <c r="D29" s="104"/>
      <c r="E29" s="105"/>
      <c r="F29" s="121" t="s">
        <v>48</v>
      </c>
      <c r="G29" s="99"/>
      <c r="H29" s="100"/>
      <c r="I29" s="100"/>
      <c r="J29" s="101"/>
      <c r="K29">
        <f>VLOOKUP(F29,Data!$F$3:$G$7,2,FALSE)</f>
        <v>0</v>
      </c>
    </row>
    <row r="30" ht="134" customHeight="1" spans="2:11" x14ac:dyDescent="0.25">
      <c r="B30" s="115"/>
      <c r="C30" s="103" t="s">
        <v>75</v>
      </c>
      <c r="D30" s="104"/>
      <c r="E30" s="105"/>
      <c r="F30" s="88" t="s">
        <v>61</v>
      </c>
      <c r="G30" s="106"/>
      <c r="H30" s="107"/>
      <c r="I30" s="107"/>
      <c r="J30" s="108"/>
      <c r="K30">
        <f>VLOOKUP(F30,Data!$D$3:$G$7,4,FALSE)</f>
        <v>0</v>
      </c>
    </row>
    <row r="31" ht="109" customHeight="1" spans="2:11" x14ac:dyDescent="0.25">
      <c r="B31" s="116"/>
      <c r="C31" s="103" t="s">
        <v>76</v>
      </c>
      <c r="D31" s="104"/>
      <c r="E31" s="105"/>
      <c r="F31" s="88" t="s">
        <v>51</v>
      </c>
      <c r="G31" s="106" t="s">
        <v>77</v>
      </c>
      <c r="H31" s="107"/>
      <c r="I31" s="107"/>
      <c r="J31" s="108"/>
      <c r="K31">
        <f>VLOOKUP(F31,Data!$D$3:$G$7,4,FALSE)</f>
        <v>0</v>
      </c>
    </row>
    <row r="32" ht="70" customHeight="1" spans="2:11" x14ac:dyDescent="0.25">
      <c r="B32" s="114" t="s">
        <v>78</v>
      </c>
      <c r="C32" s="104" t="s">
        <v>79</v>
      </c>
      <c r="D32" s="104"/>
      <c r="E32" s="105"/>
      <c r="F32" s="121" t="s">
        <v>51</v>
      </c>
      <c r="G32" s="106" t="s">
        <v>80</v>
      </c>
      <c r="H32" s="107"/>
      <c r="I32" s="107"/>
      <c r="J32" s="108"/>
      <c r="K32">
        <f>VLOOKUP(F32,Data!$F$3:$G$7,2,FALSE)/3</f>
        <v>0</v>
      </c>
    </row>
    <row r="33" ht="49" customHeight="1" spans="2:11" x14ac:dyDescent="0.25">
      <c r="B33" s="115"/>
      <c r="C33" s="104" t="s">
        <v>81</v>
      </c>
      <c r="D33" s="104"/>
      <c r="E33" s="105"/>
      <c r="F33" s="121" t="s">
        <v>51</v>
      </c>
      <c r="G33" s="106" t="s">
        <v>82</v>
      </c>
      <c r="H33" s="107"/>
      <c r="I33" s="107"/>
      <c r="J33" s="108"/>
      <c r="K33">
        <f>VLOOKUP(F33,Data!$F$3:$G$7,2,FALSE)/3</f>
        <v>0</v>
      </c>
    </row>
    <row r="34" ht="65" customHeight="1" spans="2:11" x14ac:dyDescent="0.25">
      <c r="B34" s="116"/>
      <c r="C34" s="104" t="s">
        <v>83</v>
      </c>
      <c r="D34" s="104"/>
      <c r="E34" s="105"/>
      <c r="F34" s="88" t="s">
        <v>48</v>
      </c>
      <c r="G34" s="106" t="s">
        <v>84</v>
      </c>
      <c r="H34" s="107"/>
      <c r="I34" s="107"/>
      <c r="J34" s="108"/>
      <c r="K34">
        <f>VLOOKUP(F34,Data!$D$3:$G$7,4,FALSE)/3</f>
        <v>0</v>
      </c>
    </row>
    <row r="35" ht="40" customHeight="1" spans="2:12" x14ac:dyDescent="0.25">
      <c r="B35" s="128" t="s">
        <v>51</v>
      </c>
      <c r="C35" s="124"/>
      <c r="D35" s="124"/>
      <c r="E35" s="124"/>
      <c r="F35" s="124"/>
      <c r="G35" s="125" t="s">
        <v>85</v>
      </c>
      <c r="H35" s="125"/>
      <c r="I35" s="126" t="s">
        <v>46</v>
      </c>
      <c r="J35" s="127">
        <f>AVERAGE(K36:K37)/3*100</f>
        <v>0</v>
      </c>
      <c r="K35" s="83"/>
      <c r="L35" s="83" t="str">
        <f>IF(J35&lt;30,"-","SAL2")</f>
        <v>-</v>
      </c>
    </row>
    <row r="36" ht="37" customHeight="1" spans="2:14" x14ac:dyDescent="0.25">
      <c r="B36" s="102" t="s">
        <v>86</v>
      </c>
      <c r="C36" s="103" t="s">
        <v>87</v>
      </c>
      <c r="D36" s="104"/>
      <c r="E36" s="105"/>
      <c r="F36" s="88" t="s">
        <v>48</v>
      </c>
      <c r="G36" s="89" t="s">
        <v>88</v>
      </c>
      <c r="H36" s="90"/>
      <c r="I36" s="90"/>
      <c r="J36" s="91"/>
      <c r="K36">
        <f>VLOOKUP(F36,Data!$D$3:$G$7,4,FALSE)</f>
        <v>0</v>
      </c>
      <c r="N36" s="83"/>
    </row>
    <row r="37" ht="86" customHeight="1" spans="2:11" x14ac:dyDescent="0.25">
      <c r="B37" s="102" t="s">
        <v>89</v>
      </c>
      <c r="C37" s="103" t="s">
        <v>90</v>
      </c>
      <c r="D37" s="104"/>
      <c r="E37" s="105"/>
      <c r="F37" s="88" t="s">
        <v>61</v>
      </c>
      <c r="G37" s="99"/>
      <c r="H37" s="100"/>
      <c r="I37" s="100"/>
      <c r="J37" s="101"/>
      <c r="K37">
        <f>VLOOKUP(F37,Data!$D$3:$G$7,4,FALSE)</f>
        <v>0</v>
      </c>
    </row>
    <row r="38" ht="40" customHeight="1" spans="2:12" x14ac:dyDescent="0.25">
      <c r="B38" s="123" t="s">
        <v>48</v>
      </c>
      <c r="C38" s="124"/>
      <c r="D38" s="124"/>
      <c r="E38" s="124"/>
      <c r="F38" s="124"/>
      <c r="G38" s="125" t="s">
        <v>91</v>
      </c>
      <c r="H38" s="125"/>
      <c r="I38" s="126" t="s">
        <v>46</v>
      </c>
      <c r="J38" s="127">
        <f>AVERAGE(K39:K41)/3*100</f>
        <v>0</v>
      </c>
      <c r="K38" s="83"/>
      <c r="L38" s="83" t="str">
        <f>IF(J38&lt;10,"No Experience",IF(J38&lt;20,"Associate","SAL2"))</f>
        <v>No Experience</v>
      </c>
    </row>
    <row r="39" ht="155" customHeight="1" spans="2:11" x14ac:dyDescent="0.25">
      <c r="B39" s="102" t="s">
        <v>92</v>
      </c>
      <c r="C39" s="129" t="s">
        <v>93</v>
      </c>
      <c r="D39" s="130"/>
      <c r="E39" s="131"/>
      <c r="F39" s="88" t="s">
        <v>51</v>
      </c>
      <c r="G39" s="106" t="s">
        <v>94</v>
      </c>
      <c r="H39" s="107"/>
      <c r="I39" s="107"/>
      <c r="J39" s="108"/>
      <c r="K39">
        <f>VLOOKUP(F39,Data!$D$3:$G$7,4,FALSE)</f>
        <v>0</v>
      </c>
    </row>
    <row r="40" ht="54" customHeight="1" spans="2:11" x14ac:dyDescent="0.25">
      <c r="B40" s="102" t="s">
        <v>95</v>
      </c>
      <c r="C40" s="129" t="s">
        <v>96</v>
      </c>
      <c r="D40" s="130"/>
      <c r="E40" s="131"/>
      <c r="F40" s="88" t="s">
        <v>48</v>
      </c>
      <c r="G40" s="106" t="s">
        <v>97</v>
      </c>
      <c r="H40" s="107"/>
      <c r="I40" s="107"/>
      <c r="J40" s="108"/>
      <c r="K40">
        <f>VLOOKUP(F40,Data!$D$3:$G$7,4,FALSE)</f>
        <v>0</v>
      </c>
    </row>
    <row r="41" ht="103" customHeight="1" spans="2:11" x14ac:dyDescent="0.25">
      <c r="B41" s="102" t="s">
        <v>98</v>
      </c>
      <c r="C41" s="132" t="s">
        <v>99</v>
      </c>
      <c r="D41" s="130"/>
      <c r="E41" s="131"/>
      <c r="F41" s="88" t="s">
        <v>51</v>
      </c>
      <c r="G41" s="106" t="s">
        <v>100</v>
      </c>
      <c r="H41" s="107"/>
      <c r="I41" s="107"/>
      <c r="J41" s="108"/>
      <c r="K41">
        <f>VLOOKUP(F41,Data!$D$3:$G$7,4,FALSE)</f>
        <v>0</v>
      </c>
    </row>
    <row r="42" ht="40" customHeight="1" spans="2:10" x14ac:dyDescent="0.25">
      <c r="B42" s="123" t="s">
        <v>101</v>
      </c>
      <c r="C42" s="124"/>
      <c r="D42" s="124"/>
      <c r="E42" s="124"/>
      <c r="F42" s="124"/>
      <c r="G42" s="124"/>
      <c r="H42" s="124"/>
      <c r="I42" s="124"/>
      <c r="J42" s="133"/>
    </row>
    <row r="43" ht="57" customHeight="1" spans="2:10" x14ac:dyDescent="0.25">
      <c r="B43" s="134" t="s">
        <v>102</v>
      </c>
      <c r="C43" s="129" t="s">
        <v>103</v>
      </c>
      <c r="D43" s="131"/>
      <c r="E43" s="135" t="s">
        <v>104</v>
      </c>
      <c r="F43" s="136" t="s">
        <v>51</v>
      </c>
      <c r="G43" s="106" t="s">
        <v>105</v>
      </c>
      <c r="H43" s="107"/>
      <c r="I43" s="107"/>
      <c r="J43" s="108"/>
    </row>
    <row r="44" ht="22" customHeight="1" spans="2:10" x14ac:dyDescent="0.25">
      <c r="B44" s="137" t="s">
        <v>106</v>
      </c>
      <c r="C44" s="138"/>
      <c r="D44" s="138"/>
      <c r="E44" s="138"/>
      <c r="F44" s="139"/>
      <c r="G44" s="106"/>
      <c r="H44" s="107"/>
      <c r="I44" s="107"/>
      <c r="J44" s="108"/>
    </row>
  </sheetData>
  <mergeCells count="68">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18"/>
    <mergeCell ref="B14:B18"/>
    <mergeCell ref="C15:E15"/>
    <mergeCell ref="C16:E16"/>
    <mergeCell ref="C17:E17"/>
    <mergeCell ref="C18:E18"/>
    <mergeCell ref="C19:E19"/>
    <mergeCell ref="G19:J19"/>
    <mergeCell ref="B20:F20"/>
    <mergeCell ref="C21:E21"/>
    <mergeCell ref="G21:J23"/>
    <mergeCell ref="B21:B23"/>
    <mergeCell ref="C22:E22"/>
    <mergeCell ref="C23:E23"/>
    <mergeCell ref="C24:E24"/>
    <mergeCell ref="G24:J26"/>
    <mergeCell ref="B24:B26"/>
    <mergeCell ref="C25:E25"/>
    <mergeCell ref="C26:E26"/>
    <mergeCell ref="B27:F27"/>
    <mergeCell ref="C28:E28"/>
    <mergeCell ref="G28:J29"/>
    <mergeCell ref="B28:B31"/>
    <mergeCell ref="C29:E29"/>
    <mergeCell ref="C30:E30"/>
    <mergeCell ref="G30:J30"/>
    <mergeCell ref="C31:E31"/>
    <mergeCell ref="G31:J31"/>
    <mergeCell ref="C32:E32"/>
    <mergeCell ref="G32:J32"/>
    <mergeCell ref="B32:B34"/>
    <mergeCell ref="C33:E33"/>
    <mergeCell ref="G33:J33"/>
    <mergeCell ref="C34:E34"/>
    <mergeCell ref="G34:J34"/>
    <mergeCell ref="B35:F35"/>
    <mergeCell ref="C36:E36"/>
    <mergeCell ref="G36:J37"/>
    <mergeCell ref="C37:E37"/>
    <mergeCell ref="B38:F38"/>
    <mergeCell ref="C39:E39"/>
    <mergeCell ref="G39:J39"/>
    <mergeCell ref="C40:E40"/>
    <mergeCell ref="G40:J40"/>
    <mergeCell ref="C41:E41"/>
    <mergeCell ref="G41:J41"/>
    <mergeCell ref="B42:J42"/>
    <mergeCell ref="C43:D43"/>
    <mergeCell ref="G43:J43"/>
    <mergeCell ref="B44:F44"/>
    <mergeCell ref="G44:J44"/>
  </mergeCells>
  <conditionalFormatting sqref="F7">
    <cfRule type="cellIs" dxfId="0" priority="1" operator="equal">
      <formula>"REJECTED"</formula>
    </cfRule>
    <cfRule type="cellIs" dxfId="1" priority="2" operator="equal">
      <formula>"REJECTED"</formula>
    </cfRule>
  </conditionalFormatting>
  <dataValidations count="15">
    <dataValidation type="list" allowBlank="1" showInputMessage="1" showErrorMessage="1" sqref="C11">
      <formula1>Core_Exercise</formula1>
    </dataValidation>
    <dataValidation type="list" allowBlank="1" showInputMessage="1" showErrorMessage="1" sqref="C7">
      <formula1>Career_Stage</formula1>
    </dataValidation>
    <dataValidation type="list" allowBlank="1" showInputMessage="1" showErrorMessage="1" sqref="F14:F19">
      <formula1>Scoring_Architecture</formula1>
    </dataValidation>
    <dataValidation type="list" allowBlank="1" showInputMessage="1" showErrorMessage="1" sqref="F21:F26">
      <formula1>Scoring_Development</formula1>
    </dataValidation>
    <dataValidation type="list" allowBlank="1" showInputMessage="1" showErrorMessage="1" sqref="F28:F29">
      <formula1>Scoring_Development</formula1>
    </dataValidation>
    <dataValidation type="list" allowBlank="1" showInputMessage="1" showErrorMessage="1" sqref="F30:F31">
      <formula1>Scoring_Architecture</formula1>
    </dataValidation>
    <dataValidation type="list" allowBlank="1" showInputMessage="1" showErrorMessage="1" sqref="F32:F33">
      <formula1>Scoring_Development</formula1>
    </dataValidation>
    <dataValidation type="list" allowBlank="1" showInputMessage="1" showErrorMessage="1" sqref="F34">
      <formula1>Scoring_Architecture</formula1>
    </dataValidation>
    <dataValidation type="list" allowBlank="1" showInputMessage="1" showErrorMessage="1" sqref="F36:F37">
      <formula1>Scoring_Architecture</formula1>
    </dataValidation>
    <dataValidation type="list" allowBlank="1" showInputMessage="1" showErrorMessage="1" sqref="F39:F41">
      <formula1>Scoring_Architecture</formula1>
    </dataValidation>
    <dataValidation type="list" allowBlank="1" showInputMessage="1" showErrorMessage="1" sqref="G44:J44">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Core_XT_Training_Sections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40" t="s">
        <v>21</v>
      </c>
      <c r="C2" s="140" t="s">
        <v>107</v>
      </c>
      <c r="D2" s="140" t="s">
        <v>108</v>
      </c>
      <c r="E2" s="140" t="s">
        <v>109</v>
      </c>
      <c r="F2" s="140" t="s">
        <v>110</v>
      </c>
      <c r="G2" s="140" t="s">
        <v>111</v>
      </c>
      <c r="H2" s="140" t="s">
        <v>112</v>
      </c>
      <c r="I2" s="140" t="s">
        <v>113</v>
      </c>
      <c r="J2" s="140" t="s">
        <v>114</v>
      </c>
    </row>
    <row r="3" spans="2:10" x14ac:dyDescent="0.25">
      <c r="B3" t="s">
        <v>115</v>
      </c>
      <c r="C3" t="s">
        <v>6</v>
      </c>
      <c r="D3" t="s">
        <v>61</v>
      </c>
      <c r="E3" s="141" t="s">
        <v>116</v>
      </c>
      <c r="F3" t="s">
        <v>61</v>
      </c>
      <c r="G3">
        <v>0</v>
      </c>
      <c r="H3" t="s">
        <v>8</v>
      </c>
      <c r="I3" t="s">
        <v>117</v>
      </c>
      <c r="J3" t="s">
        <v>118</v>
      </c>
    </row>
    <row r="4" spans="2:9" x14ac:dyDescent="0.25">
      <c r="B4" t="s">
        <v>119</v>
      </c>
      <c r="C4" t="s">
        <v>120</v>
      </c>
      <c r="D4" t="s">
        <v>121</v>
      </c>
      <c r="E4" t="s">
        <v>122</v>
      </c>
      <c r="F4" t="s">
        <v>121</v>
      </c>
      <c r="G4">
        <v>0</v>
      </c>
      <c r="H4" t="s">
        <v>11</v>
      </c>
      <c r="I4" t="s">
        <v>123</v>
      </c>
    </row>
    <row r="5" spans="2:8" x14ac:dyDescent="0.25">
      <c r="B5" t="s">
        <v>26</v>
      </c>
      <c r="C5" t="s">
        <v>124</v>
      </c>
      <c r="D5" t="s">
        <v>125</v>
      </c>
      <c r="E5" t="s">
        <v>126</v>
      </c>
      <c r="F5" t="s">
        <v>127</v>
      </c>
      <c r="G5">
        <v>1</v>
      </c>
      <c r="H5" t="s">
        <v>128</v>
      </c>
    </row>
    <row r="6" spans="2:7" x14ac:dyDescent="0.25">
      <c r="B6" t="s">
        <v>129</v>
      </c>
      <c r="D6" t="s">
        <v>130</v>
      </c>
      <c r="F6" t="s">
        <v>131</v>
      </c>
      <c r="G6">
        <v>2</v>
      </c>
    </row>
    <row r="7" spans="2:7" x14ac:dyDescent="0.25">
      <c r="B7" t="s">
        <v>132</v>
      </c>
      <c r="D7" t="s">
        <v>133</v>
      </c>
      <c r="F7" t="s">
        <v>51</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sheetData>
    <row r="1" spans="1:2" x14ac:dyDescent="0.25">
      <c r="A1" t="s">
        <v>134</v>
      </c>
      <c r="B1" t="s">
        <v>135</v>
      </c>
    </row>
    <row r="2" spans="1:2" x14ac:dyDescent="0.25">
      <c r="A2" t="s">
        <v>136</v>
      </c>
      <c r="B2" t="s">
        <v>137</v>
      </c>
    </row>
    <row r="3" spans="1:2" x14ac:dyDescent="0.25">
      <c r="A3" t="s">
        <v>138</v>
      </c>
      <c r="B3" t="s">
        <v>139</v>
      </c>
    </row>
    <row r="4" spans="1:2" x14ac:dyDescent="0.25">
      <c r="A4" t="s">
        <v>140</v>
      </c>
      <c r="B4" t="s">
        <v>141</v>
      </c>
    </row>
    <row r="5" spans="1:2" x14ac:dyDescent="0.25">
      <c r="A5" t="s">
        <v>142</v>
      </c>
      <c r="B5" t="s">
        <v>143</v>
      </c>
    </row>
    <row r="6" spans="1:2" x14ac:dyDescent="0.25">
      <c r="A6" t="s">
        <v>144</v>
      </c>
      <c r="B6" t="s">
        <v>145</v>
      </c>
    </row>
    <row r="7" spans="1:2" x14ac:dyDescent="0.25">
      <c r="A7" t="s">
        <v>146</v>
      </c>
      <c r="B7" t="s">
        <v>147</v>
      </c>
    </row>
    <row r="8" spans="1:2" x14ac:dyDescent="0.25">
      <c r="A8" t="s">
        <v>148</v>
      </c>
      <c r="B8" t="s">
        <v>149</v>
      </c>
    </row>
    <row r="9" spans="1:2" x14ac:dyDescent="0.25">
      <c r="A9" t="s">
        <v>150</v>
      </c>
      <c r="B9" t="s">
        <v>151</v>
      </c>
    </row>
    <row r="10" spans="1:2" x14ac:dyDescent="0.25">
      <c r="A10" t="s">
        <v>152</v>
      </c>
      <c r="B10" t="s">
        <v>153</v>
      </c>
    </row>
    <row r="11" spans="1:2" x14ac:dyDescent="0.25">
      <c r="A11" t="s">
        <v>154</v>
      </c>
      <c r="B11" t="s">
        <v>155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 HTML, CSS &amp; NFRs</vt:lpstr>
      <vt:lpstr>Data</vt:lpstr>
      <vt:lpstr>_meta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