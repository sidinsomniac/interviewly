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4.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760" windowWidth="30240" windowHeight="17380" firstSheet="1" activeTab="1"/>
  </bookViews>
  <sheets>
    <sheet sheetId="1" name="1 - HTML, CSS &amp; NFRs" state="visible" r:id="rId4"/>
    <sheet sheetId="4" name="2 - FW React" state="visible" r:id="rId5"/>
    <sheet sheetId="2" name="Data" state="hidden" r:id="rId6"/>
    <sheet sheetId="5" name="React Exercise" state="hidden" r:id="rId7"/>
    <sheet sheetId="6" name="Core Exercise" state="hidden" r:id="rId8"/>
    <sheet sheetId="3" name="_meta" state="hidden" r:id="rId9"/>
  </sheets>
  <definedNames>
    <definedName name="Career_Stage">Data!$B$3:$B$7</definedName>
    <definedName name="Core_Exercise">'Core Exercise'!$A$2:$A$8</definedName>
    <definedName name="Core_XT_Training_Sections">Data!$H$3:$H$5</definedName>
    <definedName name="Interview_Outcome">Data!$C$3:$C$5</definedName>
    <definedName name="React_Exercise">'React Exercise'!$A$2:$A$8</definedName>
    <definedName name="React_Training_Sections">Data!$J$3</definedName>
    <definedName name="Rejection_Reason">Data!$E$3:$E$5</definedName>
    <definedName name="Scoring_Architecture">Data!$D$3:$D$7</definedName>
    <definedName name="Scoring_Development">Data!$F$3:$F$7</definedName>
    <definedName name="Will_You_Take_Person">Data!$I$3:$I$4</definedName>
  </definedNames>
  <calcPr calcId="171027"/>
</workbook>
</file>

<file path=xl/sharedStrings.xml><?xml version="1.0" encoding="utf-8"?>
<sst xmlns="http://schemas.openxmlformats.org/spreadsheetml/2006/main" count="323" uniqueCount="203">
  <si>
    <t>Experience Engineering Hiring Probe Form [If in doubt REJECT the candidate]</t>
  </si>
  <si>
    <t>Candidate Name:</t>
  </si>
  <si>
    <t>Interviewer Name:</t>
  </si>
  <si>
    <t xml:space="preserve">Interview Outcome: </t>
  </si>
  <si>
    <t>Architecture</t>
  </si>
  <si>
    <t>HTML/CSS</t>
  </si>
  <si>
    <t>JS</t>
  </si>
  <si>
    <t>Packaging</t>
  </si>
  <si>
    <t>NFR</t>
  </si>
  <si>
    <t>SAL2Count</t>
  </si>
  <si>
    <t>SAL1Count</t>
  </si>
  <si>
    <t>Associate Count</t>
  </si>
  <si>
    <t>Rejected Count</t>
  </si>
  <si>
    <t>isRejected</t>
  </si>
  <si>
    <t>isSAL2</t>
  </si>
  <si>
    <t>isSAL1</t>
  </si>
  <si>
    <t>isAL1</t>
  </si>
  <si>
    <t>isAL2</t>
  </si>
  <si>
    <t>Career Stage</t>
  </si>
  <si>
    <t>Total years of exp.:</t>
  </si>
  <si>
    <t xml:space="preserve">Interviewer OID: </t>
  </si>
  <si>
    <t>Selected for Level:</t>
  </si>
  <si>
    <t>Relevant years of exp.:</t>
  </si>
  <si>
    <t>(Rev)Shadow Name:</t>
  </si>
  <si>
    <t>Rejection Reason:</t>
  </si>
  <si>
    <t>Interviewed for:</t>
  </si>
  <si>
    <t>Recommended Title</t>
  </si>
  <si>
    <t>Sections to be trained on:</t>
  </si>
  <si>
    <t>Evaluation Date:</t>
  </si>
  <si>
    <t>Recommended Training</t>
  </si>
  <si>
    <t>Domain Feedback Summary &amp; Key Highlights:</t>
  </si>
  <si>
    <t>Teachable Skill Gap Details:</t>
  </si>
  <si>
    <t>Choose hands-on exercise</t>
  </si>
  <si>
    <t>Pokemon 1</t>
  </si>
  <si>
    <t>Skill</t>
  </si>
  <si>
    <t>Areas To Be Probed / Competency Definition</t>
  </si>
  <si>
    <t>Evaluated Proficiency Level</t>
  </si>
  <si>
    <t>Feedback Details</t>
  </si>
  <si>
    <t>ARCHITECTURE</t>
  </si>
  <si>
    <t xml:space="preserve">AVG %age SCORE: </t>
  </si>
  <si>
    <t>Can explain the frontend architecture of their existing project. And aware of architectural patterns like: MicroFrontends, SPA/MPA, Web Components, 12 Factor, MicroServices, ModuleFederation</t>
  </si>
  <si>
    <t>Did not probe</t>
  </si>
  <si>
    <t>Is clear with reasons of tech stack decisions made</t>
  </si>
  <si>
    <r>
      <t xml:space="preserve">Awareness of Rendering Techniques: </t>
    </r>
    <r>
      <rPr>
        <b/>
        <color theme="1"/>
        <family val="2"/>
        <scheme val="minor"/>
        <sz val="12"/>
        <rFont val="Calibri"/>
      </rPr>
      <t>SSR/CSR/SSG/ISR/ESR/PWA</t>
    </r>
  </si>
  <si>
    <t>Able to give a comparitive PoV on design system, atomic design pattern and various CSS code organization techniques e.g. CSS modules, inline CSS, styled-components, emotion, etc.</t>
  </si>
  <si>
    <t>Experience with setting up Design Systems. Atomic design concepts. Storybook implementation. Understands concept of Design Tokens.</t>
  </si>
  <si>
    <t>PWA</t>
  </si>
  <si>
    <t xml:space="preserve">Able to explain browser caching through http headers (cache-control, etag)
Able to explain browser caching using service workers and benefits over http caching
Able to tell different caching strategies for service workers
</t>
  </si>
  <si>
    <t>Web Basics / HTML / CSS</t>
  </si>
  <si>
    <t>HTML | Templating</t>
  </si>
  <si>
    <t>Sementic HTML, DOM</t>
  </si>
  <si>
    <t xml:space="preserve">Able to create Form in native HTML and submit without JS. Able to add validations to form. Knows how to use FormData API. </t>
  </si>
  <si>
    <t>Able to explain browser side storage (cookies / localstorage / sessionstorage / indexeddb)</t>
  </si>
  <si>
    <t>CSS / processors &amp; Responsive</t>
  </si>
  <si>
    <t>Understands CSS Concepts like: CSSOM, Rules, Selectors and Property values, Cascading, Inheritance, Specificity</t>
  </si>
  <si>
    <t xml:space="preserve">Responsive Design (Mobile and Desktop first), Media Queries. Responsive Images.
Layout -  [flex, grid, float], display, postitioning.</t>
  </si>
  <si>
    <t>Preprocessors (SCSS/SASS) / Postprocessors (PostCSS), Frameworks (Tailwind, Chakra, Bootstrap), CSS-in-JS (Styled Components, Emotion, CSS Modules)</t>
  </si>
  <si>
    <r>
      <t xml:space="preserve">JavaScript / TypeScript </t>
    </r>
    <r>
      <rPr>
        <b/>
        <color rgb="FFFF0000"/>
        <sz val="12"/>
        <rFont val="Calibri (Body)"/>
      </rPr>
      <t>(Cover maximum listed topics as hands-on coding exercise)</t>
    </r>
  </si>
  <si>
    <t>Javascript</t>
  </si>
  <si>
    <t xml:space="preserve">Hands on coding exercise to cover following topics: 
Event Listeners (Able to use following: addEventListener, event object, stopPropagation, preventDefault)
DOM Manipulation (querySelector, querySelectorAll, innerHTML, DOM Fragments[optional])</t>
  </si>
  <si>
    <t xml:space="preserve">Loops/map
Promises (then-catch, async-await, promise.all)
Fetch API
Able to create modules, and use import and export statement
Able to explain usecases for deboune and throttle
Able to modify and transform objects</t>
  </si>
  <si>
    <t xml:space="preserve">Is the code written well structured?
 - If code written in single file and poor variable names  - No Experience
- If code written in single file with good code breakdown - Awareness of concepts
- If code written in multiple files with logic split across - Able to explain concepts in depth
- If code written in multiple file with utilities, constants and config also managed separately - Confident with decision making and hands on</t>
  </si>
  <si>
    <t xml:space="preserve">Has experience of writing Unit Test cases in previous projects using Jest/Karma/Jasmine/Mocha/Enzyme/RTL
Has experience in writing functional test cases (not snapshot testing)
Able to tell test cases to be written for a given scenario
Able to explain HTTP API mocking and browser API methods mocking (e.g. mocking localstorage)</t>
  </si>
  <si>
    <t>Typescript</t>
  </si>
  <si>
    <t xml:space="preserve">Able to explain the benefits and trade-offs of using TypeScript over JavaScript. 
Understands basic types, including string, number, boolean, undefined, null, and any.</t>
  </si>
  <si>
    <t xml:space="preserve">Comfortable with advanced types such as interfaces, enums, tuples, generics, and unions. 
</t>
  </si>
  <si>
    <t xml:space="preserve">Experience in using TypeScript with popular frontend frameworks, particularly React. 
Has experience configuring a TypeScript project using tsconfig.json.</t>
  </si>
  <si>
    <t>Tooling &amp; Bundlers</t>
  </si>
  <si>
    <t>Bundlers</t>
  </si>
  <si>
    <t xml:space="preserve">Able to explain concept of Monorepo and related tools (nx, turborepo)
Experience configuring a module bundler - webpack/esbuild/rollup/vite</t>
  </si>
  <si>
    <t>Tooling</t>
  </si>
  <si>
    <t xml:space="preserve">Has experience of using &amp; configuring following tools:
Linters - Pa11y, ESLint, Sonar
Formatters - Prettier
GitHooks - Husky, lint-staged
WebServers - Apache/Nginx</t>
  </si>
  <si>
    <t>NFR's</t>
  </si>
  <si>
    <t>Performance</t>
  </si>
  <si>
    <t xml:space="preserve">Able to run any performance tool (e.g. lighthouse, webpagetest, pagespeed, sitespeed.io, etc) on a website and gather report
Able to explain different performance metrices e.g. (WebVitals, Critical Rendering Path)
Able to tell performance improvement areas and their impact on performance metrices like:
Web Compression(gzip/brotli), Caching / CDN / Expirations, HTTP2, Service Workers</t>
  </si>
  <si>
    <t>Security</t>
  </si>
  <si>
    <t xml:space="preserve">Able to explain security &amp; compliance topics like: HIPPA, GDPR, PCI, PII, XSS, CORS, MITM, CSP, CSRF, OWASP, SSL/TLS
Able to explain mechanism to secure cookies</t>
  </si>
  <si>
    <t>Accessibility</t>
  </si>
  <si>
    <t xml:space="preserve">Understands accessibility guidelines like : A/AA/AAA/ADA/508 
Able to explain use of aria live regions for dynamic content announcement
Able to use any screen reader to access a website
Able to create accessible forms and write code adhering to meet the accessibility benchmarks</t>
  </si>
  <si>
    <t>Attributes</t>
  </si>
  <si>
    <t>Role Awareness</t>
  </si>
  <si>
    <t>Roles and responsibilities, tech stack, nature of projects</t>
  </si>
  <si>
    <t>Awareness of the domain, organization and responsibilities of the role.</t>
  </si>
  <si>
    <t>Explain the same if the candidate isnt aware.</t>
  </si>
  <si>
    <t>Would you be comfortable staffing the person on your project. [Yes / No]</t>
  </si>
  <si>
    <t>John Doe</t>
  </si>
  <si>
    <t>Medha</t>
  </si>
  <si>
    <t>Rejected</t>
  </si>
  <si>
    <t>React Basics</t>
  </si>
  <si>
    <t>React Advance</t>
  </si>
  <si>
    <t>Node</t>
  </si>
  <si>
    <t>GraphQL</t>
  </si>
  <si>
    <t>React Specialist</t>
  </si>
  <si>
    <t>AI-001</t>
  </si>
  <si>
    <t>REJECTED</t>
  </si>
  <si>
    <t>Lacked Fundamentals</t>
  </si>
  <si>
    <t>Senior Experience Engineer</t>
  </si>
  <si>
    <t>React Basics, React Advanced, Node, GraphQL</t>
  </si>
  <si>
    <t>05/31/2026</t>
  </si>
  <si>
    <t>John Doe demonstrated some awareness of React concepts like conditional rendering and useEffect, but his responses were often shallow and lacked depth. He struggled to articulate clear trade-offs between different approaches, such as when to use useReducer vs useState, and his explanation of error boundaries was incomplete. He showed no experience with styling approaches, testing, or advanced patterns like custom hooks or memoization. His Node and GraphQL knowledge was not probed due to the interview ending early. Overall, John lacks the fundamental understanding expected for a Senior Experience Engineer role.</t>
  </si>
  <si>
    <t>Needs to strengthen understanding of React fundamentals including state management, side effects, and performance optimization. Requires hands-on practice with testing, error boundaries, and advanced patterns.</t>
  </si>
  <si>
    <t>Shopping Cart</t>
  </si>
  <si>
    <r>
      <t xml:space="preserve">React Basics </t>
    </r>
    <r>
      <rPr>
        <b/>
        <color rgb="FFFF0000"/>
        <sz val="12"/>
        <rFont val="Calibri (Body)"/>
      </rPr>
      <t>(Cover maximum listed topics as hands-on coding exercise)</t>
    </r>
  </si>
  <si>
    <t xml:space="preserve">Able to create nested components, and write clean JSX markup (and uses atomic design principle)
Able to do conditional rendering
Able to import &amp; export components through different files (both default and named exports)</t>
  </si>
  <si>
    <t>Able to explain concepts theoritically</t>
  </si>
  <si>
    <t>Candidate was asked about error boundaries but did not provide any answer; the transcript shows no response.</t>
  </si>
  <si>
    <t>Able to style the component using traditional css or css-in-js</t>
  </si>
  <si>
    <t>Able to demonstrate use of fragments, useEffect, useState</t>
  </si>
  <si>
    <t xml:space="preserve">Able to render a component in loop and understands best practices related to key attribute </t>
  </si>
  <si>
    <t xml:space="preserve">Able to create form and handle submitting data using Ajax
Able to bind events to form submit and add validation to form fields </t>
  </si>
  <si>
    <t>Able to write functional unit test cases for react component using enzyme/RTL (not snapshot)</t>
  </si>
  <si>
    <t xml:space="preserve">Able to demonstrate handling error using error boundries </t>
  </si>
  <si>
    <t>No Experience</t>
  </si>
  <si>
    <r>
      <t xml:space="preserve">React Advance </t>
    </r>
    <r>
      <rPr>
        <b/>
        <color rgb="FFFF0000"/>
        <sz val="12"/>
        <rFont val="Calibri (Body)"/>
      </rPr>
      <t>(Cover maximum listed topics as hands-on coding exercise)</t>
    </r>
  </si>
  <si>
    <t>React Advanced</t>
  </si>
  <si>
    <t>Has worked with various rendering patterns in React and Next JS e.g. SSR, CSR, SSG, ISR and able to define them</t>
  </si>
  <si>
    <t>-</t>
  </si>
  <si>
    <t>Able to explain and create react specific design patters e.g. Custom Hooks, Higher Order Components, Render Props, Compound Component, etc</t>
  </si>
  <si>
    <t xml:space="preserve">Able to explain usecases for using Context API and how to use it with useReducer pattern </t>
  </si>
  <si>
    <t>Able to define purpose of useRef with real life use cases and best practices</t>
  </si>
  <si>
    <t>Able to demonstrate memoization in react using useMemo and useCallback and explain different use cases for each of them</t>
  </si>
  <si>
    <t xml:space="preserve">Able to explain react routing/next routing 
Able to explain route based chunking, react lazy and suspense
Able to give PoV on SPA and MPA</t>
  </si>
  <si>
    <t xml:space="preserve">Able to give PoV on various state management techniques e.g. Redux, redux toolkit, react-query, recoil, jotai, context api, xstate, Apollo Client, etc. 
Able to give explain handling of side-effects with state management library (e.g. redux thunk, saga, etc)</t>
  </si>
  <si>
    <t xml:space="preserve">Understands public and private npm registry and publishing of packages
Able to explain using environment variables using dotenv module
Able to explain importance of logging in server application, and best practices around logging like log levels and log redaction</t>
  </si>
  <si>
    <t>Node JS</t>
  </si>
  <si>
    <t>Has implemented and able to explain architectural concepts like - MicroServices, 12 factor, Monolith, Serverless, Domain Driven Design</t>
  </si>
  <si>
    <t xml:space="preserve"> - Able to create a basic HTTP server
- Understands request &amp; response objects &amp; headers
- Understands different HTTP verbs like GET, POST, DELETE, PUT etc
- Understands  commonly used HTTP response codes (2xx, 3xx, 4xx, 5xx)
- Understands Error &amp; Exception Handling with HTTP Server</t>
  </si>
  <si>
    <t xml:space="preserve"> - Able to create a RESTful API and explain RESTful principles
- Experience working with API documentation/testing tools like swagger, openAPI, PostMan</t>
  </si>
  <si>
    <t>Has worked upon and able to explain about streaming architecture solutions like WebSockets, Server Sent Events and its use cases</t>
  </si>
  <si>
    <t xml:space="preserve"> - Able to give PoV on Relational vs Non-Relational DBs
- Explain the importance of ORM and give examples of node based ORMs
- Understands DB concepts like CAP theorem, ACID compliance, Sharding, Replication
- Experience working with in Memory Datastores - Redis, Memcached, Couchbase, etc</t>
  </si>
  <si>
    <t xml:space="preserve"> - Understands difference between commonjs and ejs module systems
- Has worked on a node based API framework like fastify, koa, express, Hapi, nest.js</t>
  </si>
  <si>
    <t xml:space="preserve"> - Able to explain benefits and challenges with GraphQL implementation
- Has experience creating GraphQL API server - e.g. Apollo GraphQL, Apollo Federation, AWS AppSync, Hasura, Prisma</t>
  </si>
  <si>
    <t>Able to present POV on caching challenges and strategies with GraphQL</t>
  </si>
  <si>
    <t>Able to explain concepts like batching, introspection and scalar types  (Int, Float, Boolean, String, ID) in GraphQL</t>
  </si>
  <si>
    <t>Able to explain error handling and arguments handling in GraphQL</t>
  </si>
  <si>
    <t xml:space="preserve"> - Able to write schema and resolvers in GraphQL
- Able to work with GraphQL Playground</t>
  </si>
  <si>
    <t>Able to work with GraphQL client to write Queries and get data from GraphQL server</t>
  </si>
  <si>
    <t>Interview Outcome</t>
  </si>
  <si>
    <t>Scoring Architecture</t>
  </si>
  <si>
    <t>Rejection Reason</t>
  </si>
  <si>
    <t>Scoring Development</t>
  </si>
  <si>
    <t>Scoring Score</t>
  </si>
  <si>
    <t>Core XT Training Sections</t>
  </si>
  <si>
    <t>Will You Take Person</t>
  </si>
  <si>
    <t>React Training Sections</t>
  </si>
  <si>
    <t>Experience Engineer L1</t>
  </si>
  <si>
    <t>Selected</t>
  </si>
  <si>
    <t>Yes</t>
  </si>
  <si>
    <t>Experience Engineer L2</t>
  </si>
  <si>
    <t>No Hands on Experience</t>
  </si>
  <si>
    <t>No</t>
  </si>
  <si>
    <t>Needs Another Round</t>
  </si>
  <si>
    <t xml:space="preserve">Awareness of concepts </t>
  </si>
  <si>
    <t>Gaps in multiple categories</t>
  </si>
  <si>
    <t>HTML/CSS &amp; NFR</t>
  </si>
  <si>
    <t>Lead Experience Engineer</t>
  </si>
  <si>
    <t xml:space="preserve">Able to explain concepts in depth  </t>
  </si>
  <si>
    <t>Able to code with guidance</t>
  </si>
  <si>
    <t>Manager Experience Engineering</t>
  </si>
  <si>
    <t xml:space="preserve">Confident with decision making &amp; hands on </t>
  </si>
  <si>
    <t>Confident hands on developer</t>
  </si>
  <si>
    <t>React</t>
  </si>
  <si>
    <r>
      <t xml:space="preserve">Create a React web application that consumes the </t>
    </r>
    <r>
      <rPr>
        <color theme="4"/>
        <sz val="12"/>
        <rFont val="Calibri (Body)"/>
      </rPr>
      <t>https://pokeapi.co/api/v2/pokemon/</t>
    </r>
    <r>
      <rPr>
        <color theme="1"/>
        <family val="2"/>
        <scheme val="minor"/>
        <sz val="12"/>
        <rFont val="Calibri"/>
      </rPr>
      <t xml:space="preserve"> API and displays a dropdown list of pokemons. When the user selects a pokemon from the dropdown, the application should make a second API call using the "url" returned in the first API call to fetch the pokemon's details, including its abilities, and display them on the page. Once the details are fetched, they should be cached and the application should not make another API call for that pokemon again.</t>
    </r>
  </si>
  <si>
    <t>Pokemon 2</t>
  </si>
  <si>
    <t>Create a React web application that consumes the https://pokeapi.co/api/v2/pokemon/ API and displays a table containing a list of pokemon names and their abilities. The application should make multiple parallel API calls to fetch the pokemon details, including their abilities, and display them in the table.</t>
  </si>
  <si>
    <t>Starwars 1</t>
  </si>
  <si>
    <t>Create a React web application that consumes the https://swapi.dev/api/people/ API and displays a dropdown containing a list of Star Wars characters. When a user selects a character from the dropdown, the application should make an API call to fetch the films the character has appeared in and the vehicles they have used, and display them in a table.</t>
  </si>
  <si>
    <t>Starwars 2</t>
  </si>
  <si>
    <t>Create a React web application that consumes the https://swapi.dev/api/people/ API and displays a table containing a list of Star Wars characters and the films they have appeared in and the vehicles they have used. The application should make multiple parallel API calls to fetch the film and vehicle details using the URLs returned in the first API call and display them in the table.</t>
  </si>
  <si>
    <t>Create a React web application that consumes the https://fakestoreapi.com/carts/2 API and displays a list of products in the cart. For each product in the cart, the application should make an API call to fetch the product details using the ID returned in the cart API and display the product title, price, and image. Note: The https://fakestoreapi.com/products/:id: API returns details for a single product. You will need to make an API call for each product in the cart to fetch the product details.</t>
  </si>
  <si>
    <t>Product Listing Page</t>
  </si>
  <si>
    <t>Create a React web application that consumes the https://fakestoreapi.com/products?sort=asc API and displays a list of products in ascending order based on price. The application should also include a dropdown to allow the user to change the sorting of the products between ascending and descending. When the user changes the sorting order, the application should update the query parameter value and fetch the products with the new sorting order.</t>
  </si>
  <si>
    <t>Custom</t>
  </si>
  <si>
    <t>Describe the problem statement asked</t>
  </si>
  <si>
    <t>Core</t>
  </si>
  <si>
    <r>
      <t xml:space="preserve">Create a vanilla JS application that consumes the </t>
    </r>
    <r>
      <rPr>
        <color theme="4"/>
        <sz val="12"/>
        <rFont val="Calibri (Body)"/>
      </rPr>
      <t>https://pokeapi.co/api/v2/pokemon/</t>
    </r>
    <r>
      <rPr>
        <color theme="1"/>
        <family val="2"/>
        <scheme val="minor"/>
        <sz val="12"/>
        <rFont val="Calibri"/>
      </rPr>
      <t xml:space="preserve"> API and displays a dropdown list of pokemons. When the user selects a pokemon from the dropdown, the application should make a second API call using the "url" returned in the first API call to fetch the pokemon's details, including its abilities, and display them on the page. Once the details are fetched, they should be cached and the application should not make another API call for that pokemon again.</t>
    </r>
  </si>
  <si>
    <t>Create a vanilla js application that consumes the https://pokeapi.co/api/v2/pokemon/ API and displays a table containing a list of pokemon names and their abilities. The application should make multiple parallel API calls to fetch the pokemon details, including their abilities, and display them in the table.</t>
  </si>
  <si>
    <t>Create a vanilla js application that consumes the https://swapi.dev/api/people/ API and displays a dropdown containing a list of Star Wars characters. When a user selects a character from the dropdown, the application should make an API call to fetch the films the character has appeared in and the vehicles they have used, and display them in a table.</t>
  </si>
  <si>
    <t>Create a vanilla js application that consumes the https://swapi.dev/api/people/ API and displays a table containing a list of Star Wars characters and the films they have appeared in and the vehicles they have used. The application should make multiple parallel API calls to fetch the film and vehicle details using the URLs returned in the first API call and display them in the table.</t>
  </si>
  <si>
    <t>Create a vanilla js application that consumes the https://fakestoreapi.com/carts/2 API and displays a list of products in the cart. For each product in the cart, the application should make an API call to fetch the product details using the ID returned in the cart API and display the product title, price, and image. Note: The https://fakestoreapi.com/products/:id: API returns details for a single product. You will need to make an API call for each product in the cart to fetch the product details.</t>
  </si>
  <si>
    <t>Create a vanilla js application that consumes the https://fakestoreapi.com/products?sort=asc API and displays a list of products in ascending order based on price. The application should also include a dropdown to allow the user to change the sorting of the products between ascending and descending. When the user changes the sorting order, the application should update the query parameter value and fetch the products with the new sorting order.</t>
  </si>
  <si>
    <t>app</t>
  </si>
  <si>
    <t>interviewly</t>
  </si>
  <si>
    <t>version</t>
  </si>
  <si>
    <t>0.1.0</t>
  </si>
  <si>
    <t>model_provider</t>
  </si>
  <si>
    <t>deepseek</t>
  </si>
  <si>
    <t>model_id</t>
  </si>
  <si>
    <t>deepseek-v4-flash</t>
  </si>
  <si>
    <t>generated_at</t>
  </si>
  <si>
    <t>2026-05-30T18:52:42.802Z</t>
  </si>
  <si>
    <t>meeting_id</t>
  </si>
  <si>
    <t>MSoyMGYzNjNhYy0xZWFjLTRhMjQtOTNkNy1iZTIwNDBhMmVmNzAqMCoqMTk6bWVldGluZ19aRE01WXpneE5EVXRNelJoTmkwMFpEYzFMVGcwWXpjdFlXTTNZV0UwTXpWak56SXdAdGhyZWFkLnYy</t>
  </si>
  <si>
    <t>transcript_sha256</t>
  </si>
  <si>
    <t>e7f77ad81f362971daaf6735f299fdde272d188a2b7e1c3f1580276c65d83f66</t>
  </si>
  <si>
    <t>recruiter_email</t>
  </si>
  <si>
    <t>SiddharthaChatterjee@RecipeBari.onmicrosoft.com</t>
  </si>
  <si>
    <t>bot_user_email</t>
  </si>
  <si>
    <t>interviewly.bot@RecipeBari.onmicrosoft.com</t>
  </si>
  <si>
    <t>test_mode</t>
  </si>
  <si>
    <t>false</t>
  </si>
  <si>
    <t>fixture_id</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</si>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</sst>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b/>
      <color theme="1"/>
      <family val="2"/>
      <scheme val="minor"/>
      <sz val="12"/>
      <name val="Calibri"/>
    </font>
    <font>
      <color theme="1"/>
      <family val="2"/>
      <scheme val="minor"/>
      <sz val="12"/>
      <name val="Calibri"/>
    </font>
    <font>
      <b/>
      <color rgb="FF000000"/>
      <family val="2"/>
      <scheme val="minor"/>
      <sz val="12"/>
      <name val="Calibri"/>
    </font>
    <font>
      <b/>
      <family val="2"/>
      <scheme val="minor"/>
      <sz val="12"/>
      <name val="Calibri"/>
    </font>
    <font>
      <b/>
      <color theme="0"/>
      <family val="2"/>
      <scheme val="minor"/>
      <sz val="12"/>
      <name val="Calibri"/>
    </font>
    <font>
      <color rgb="FF000000"/>
      <family val="2"/>
      <scheme val="minor"/>
      <sz val="12"/>
      <name val="Calibri"/>
    </font>
  </fonts>
  <fills count="17">
    <fill>
      <patternFill patternType="none"/>
    </fill>
    <fill>
      <patternFill patternType="gray125"/>
    </fill>
    <fill>
      <patternFill patternType="solid">
        <fgColor theme="9" tint="0.5999938962981048"/>
        <bgColor indexed="64"/>
      </patternFill>
    </fill>
    <fill>
      <patternFill patternType="solid">
        <fgColor theme="6" tint="0.7999816888943144"/>
        <bgColor indexed="64"/>
      </patternFill>
    </fill>
    <fill>
      <patternFill patternType="solid">
        <fgColor theme="6" tint="0.3999755851924192"/>
        <bgColor indexed="64"/>
      </patternFill>
    </fill>
    <fill>
      <patternFill patternType="solid">
        <fgColor theme="9" tint="0.7999816888943144"/>
        <bgColor indexed="64"/>
      </patternFill>
    </fill>
    <fill>
      <patternFill patternType="solid">
        <fgColor theme="0" tint="-0.1499984740745262"/>
        <bgColor indexed="64"/>
      </patternFill>
    </fill>
    <fill>
      <patternFill patternType="solid">
        <fgColor theme="4" tint="0.7999816888943144"/>
        <bgColor indexed="64"/>
      </patternFill>
    </fill>
    <fill>
      <patternFill patternType="solid">
        <fgColor theme="7" tint="0.7999816888943144"/>
        <bgColor indexed="64"/>
      </patternFill>
    </fill>
    <fill>
      <patternFill patternType="solid">
        <fgColor theme="9" tint="0.5999938962981048"/>
        <bgColor rgb="FF000000"/>
      </patternFill>
    </fill>
    <fill>
      <patternFill patternType="solid">
        <fgColor theme="0" tint="-0.249977111117893"/>
        <bgColor indexed="64"/>
      </patternFill>
    </fill>
    <fill>
      <patternFill patternType="solid">
        <fgColor theme="9" tint="0.3999755851924192"/>
        <bgColor indexed="64"/>
      </patternFill>
    </fill>
    <fill>
      <patternFill patternType="solid">
        <fgColor rgb="FFC00000"/>
        <bgColor indexed="64"/>
      </patternFill>
    </fill>
    <fill>
      <patternFill patternType="solid">
        <fgColor theme="2"/>
        <bgColor indexed="64"/>
      </patternFill>
    </fill>
    <fill>
      <patternFill patternType="solid">
        <fgColor theme="2" tint="-0.0999786370433668"/>
        <bgColor indexed="64"/>
      </patternFill>
    </fill>
    <fill>
      <patternFill patternType="solid">
        <fgColor theme="0" tint="-0.1499984740745262"/>
        <bgColor rgb="FF000000"/>
      </patternFill>
    </fill>
    <fill>
      <patternFill patternType="solid">
        <fgColor rgb="FFA9D08E"/>
        <bgColor rgb="FF000000"/>
      </patternFill>
    </fill>
  </fills>
  <borders count="54">
    <border>
      <left/>
      <right/>
      <top/>
      <bottom/>
      <diagonal/>
    </border>
    <border>
      <left style="medium">
        <color indexed="64"/>
      </left>
      <right style="thin"/>
      <top style="medium">
        <color indexed="64"/>
      </top>
      <bottom style="thin"/>
      <diagonal/>
    </border>
    <border>
      <left style="thin"/>
      <right style="thin"/>
      <top style="medium">
        <color indexed="64"/>
      </top>
      <bottom style="thin"/>
      <diagonal/>
    </border>
    <border>
      <left style="thin"/>
      <right style="medium">
        <color indexed="64"/>
      </right>
      <top style="medium">
        <color indexed="64"/>
      </top>
      <bottom style="thin"/>
      <diagonal/>
    </border>
    <border>
      <left style="medium">
        <color indexed="64"/>
      </left>
      <right style="thin"/>
      <top style="thin"/>
      <bottom style="medium">
        <color indexed="64"/>
      </bottom>
      <diagonal/>
    </border>
    <border>
      <left style="thin"/>
      <right style="thin"/>
      <top style="thin"/>
      <bottom style="medium">
        <color indexed="64"/>
      </bottom>
      <diagonal/>
    </border>
    <border>
      <left style="thin"/>
      <right style="medium">
        <color indexed="64"/>
      </right>
      <top style="thin"/>
      <bottom style="medium">
        <color indexed="64"/>
      </bottom>
      <diagonal/>
    </border>
    <border>
      <left style="medium">
        <color indexed="64"/>
      </left>
      <right style="thin"/>
      <top/>
      <bottom style="thin"/>
      <diagonal/>
    </border>
    <border>
      <left style="thin">
        <color indexed="64"/>
      </left>
      <right/>
      <top/>
      <bottom style="thin"/>
      <diagonal/>
    </border>
    <border>
      <left style="medium">
        <color indexed="64"/>
      </left>
      <right style="medium">
        <color indexed="64"/>
      </right>
      <top style="medium">
        <color indexed="64"/>
      </top>
      <bottom style="thin"/>
      <diagonal/>
    </border>
    <border>
      <left/>
      <right style="thin"/>
      <top/>
      <bottom style="thin"/>
      <diagonal/>
    </border>
    <border>
      <left/>
      <right style="thin"/>
      <top/>
      <bottom/>
      <diagonal/>
    </border>
    <border>
      <left/>
      <right style="medium">
        <color indexed="64"/>
      </right>
      <top/>
      <bottom style="thin"/>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top style="thin"/>
      <bottom style="thin"/>
      <diagonal/>
    </border>
    <border>
      <left style="thin"/>
      <right/>
      <top style="thin"/>
      <bottom style="thin"/>
      <diagonal/>
    </border>
    <border>
      <left style="medium">
        <color indexed="64"/>
      </left>
      <right style="medium">
        <color indexed="64"/>
      </right>
      <top style="thin"/>
      <bottom style="thin"/>
      <diagonal/>
    </border>
    <border>
      <left/>
      <right style="thin"/>
      <top style="thin"/>
      <bottom style="thin"/>
      <diagonal/>
    </border>
    <border>
      <left style="thin"/>
      <right style="thin"/>
      <top style="thin"/>
      <bottom style="thin"/>
      <diagonal/>
    </border>
    <border>
      <left style="thin"/>
      <right style="medium">
        <color indexed="64"/>
      </right>
      <top style="thin"/>
      <bottom style="thin"/>
      <diagonal/>
    </border>
    <border>
      <left style="thin"/>
      <right/>
      <top style="thin"/>
      <bottom/>
      <diagonal/>
    </border>
    <border>
      <left/>
      <right style="medium">
        <color indexed="64"/>
      </right>
      <top style="thin"/>
      <bottom style="thin"/>
      <diagonal/>
    </border>
    <border>
      <left/>
      <right style="thin"/>
      <top style="thin"/>
      <bottom/>
      <diagonal/>
    </border>
    <border>
      <left/>
      <right style="medium">
        <color indexed="64"/>
      </right>
      <top style="thin"/>
      <bottom/>
      <diagonal/>
    </border>
    <border>
      <left style="medium">
        <color indexed="64"/>
      </left>
      <right style="thin"/>
      <top style="thin"/>
      <bottom/>
      <diagonal/>
    </border>
    <border>
      <left style="medium">
        <color indexed="64"/>
      </left>
      <right style="medium">
        <color indexed="64"/>
      </right>
      <top style="thin"/>
      <bottom/>
      <diagonal/>
    </border>
    <border>
      <left style="thin"/>
      <right/>
      <top/>
      <bottom/>
      <diagonal/>
    </border>
    <border>
      <left/>
      <right style="medium">
        <color indexed="64"/>
      </right>
      <top/>
      <bottom/>
      <diagonal/>
    </border>
    <border>
      <left style="medium">
        <color indexed="64"/>
      </left>
      <right/>
      <top/>
      <bottom style="thin"/>
      <diagonal/>
    </border>
    <border>
      <left/>
      <right/>
      <top/>
      <bottom style="thin"/>
      <diagonal/>
    </border>
    <border>
      <left/>
      <right/>
      <top/>
      <bottom style="medium">
        <color indexed="64"/>
      </bottom>
      <diagonal/>
    </border>
    <border>
      <left/>
      <right style="medium">
        <color indexed="64"/>
      </right>
      <top/>
      <bottom style="medium">
        <color indexed="64"/>
      </bottom>
      <diagonal/>
    </border>
    <border>
      <left style="thin"/>
      <right style="thin"/>
      <top style="medium">
        <color indexed="64"/>
      </top>
      <bottom style="medium">
        <color indexed="64"/>
      </bottom>
      <diagonal/>
    </border>
    <border>
      <left style="thin"/>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style="medium">
        <color indexed="64"/>
      </left>
      <right style="thin"/>
      <top style="medium">
        <color indexed="64"/>
      </top>
      <bottom style="medium">
        <color indexed="64"/>
      </bottom>
      <diagonal/>
    </border>
    <border>
      <left/>
      <right/>
      <top style="medium">
        <color indexed="64"/>
      </top>
      <bottom style="thin"/>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thin">
        <color indexed="64"/>
      </right>
      <top/>
      <bottom/>
      <diagonal/>
    </border>
    <border>
      <left style="medium">
        <color indexed="64"/>
      </left>
      <right style="thin"/>
      <top/>
      <bottom style="medium">
        <color indexed="64"/>
      </bottom>
      <diagonal/>
    </border>
    <border>
      <left style="thin"/>
      <right/>
      <top style="medium">
        <color indexed="64"/>
      </top>
      <bottom style="medium">
        <color indexed="64"/>
      </bottom>
      <diagonal/>
    </border>
    <border>
      <left style="medium">
        <color indexed="64"/>
      </left>
      <right/>
      <top style="thin"/>
      <bottom style="medium">
        <color indexed="64"/>
      </bottom>
      <diagonal/>
    </border>
    <border>
      <left/>
      <right style="thin"/>
      <top style="thin"/>
      <bottom style="medium">
        <color indexed="64"/>
      </bottom>
      <diagonal/>
    </border>
    <border>
      <left style="medium">
        <color indexed="64"/>
      </left>
      <right style="medium">
        <color indexed="64"/>
      </right>
      <top/>
      <bottom style="thin"/>
      <diagonal/>
    </border>
    <border>
      <left style="medium">
        <color indexed="64"/>
      </left>
      <right style="medium">
        <color indexed="64"/>
      </right>
      <top style="thin"/>
      <bottom style="medium">
        <color indexed="64"/>
      </bottom>
      <diagonal/>
    </border>
  </borders>
  <cellStyleXfs count="1">
    <xf numFmtId="0" fontId="0" fillId="0" borderId="0"/>
  </cellStyleXfs>
  <cellXfs count="169">
    <xf numFmtId="0" fontId="0" fillId="0" borderId="0" xfId="0"/>
    <xf numFmtId="0" fontId="1" fillId="2" borderId="1" xfId="0" applyFont="1" applyFill="1" applyBorder="1" applyAlignment="1">
      <alignment horizontal="left" vertical="center"/>
    </xf>
    <xf numFmtId="0" fontId="1" fillId="2" borderId="2" xfId="0" applyFont="1" applyFill="1" applyBorder="1" applyAlignment="1">
      <alignment horizontal="left" vertical="center"/>
    </xf>
    <xf numFmtId="0" fontId="1" fillId="2" borderId="3" xfId="0" applyFont="1" applyFill="1" applyBorder="1" applyAlignment="1">
      <alignment horizontal="left" vertical="center"/>
    </xf>
    <xf numFmtId="0" fontId="1" fillId="2" borderId="4" xfId="0" applyFont="1" applyFill="1" applyBorder="1" applyAlignment="1">
      <alignment horizontal="left" vertical="center"/>
    </xf>
    <xf numFmtId="0" fontId="1" fillId="2" borderId="5" xfId="0" applyFont="1" applyFill="1" applyBorder="1" applyAlignment="1">
      <alignment horizontal="left" vertical="center"/>
    </xf>
    <xf numFmtId="0" fontId="1" fillId="2" borderId="6" xfId="0" applyFont="1" applyFill="1" applyBorder="1" applyAlignment="1">
      <alignment horizontal="left" vertical="center"/>
    </xf>
    <xf numFmtId="0" fontId="1" fillId="2" borderId="7" xfId="0" applyFont="1" applyFill="1" applyBorder="1" applyAlignment="1">
      <alignment horizontal="left" vertical="center" wrapText="1"/>
    </xf>
    <xf numFmtId="0" fontId="2" fillId="3" borderId="8" xfId="0" applyFont="1" applyFill="1" applyBorder="1" applyAlignment="1" applyProtection="1">
      <alignment horizontal="left" vertical="center"/>
      <protection locked="0"/>
    </xf>
    <xf numFmtId="0" fontId="2" fillId="4" borderId="9" xfId="0" applyFont="1" applyFill="1" applyBorder="1" applyAlignment="1">
      <alignment horizontal="center" vertical="center"/>
    </xf>
    <xf numFmtId="0" fontId="1" fillId="2" borderId="10" xfId="0" applyFont="1" applyFill="1" applyBorder="1" applyAlignment="1">
      <alignment horizontal="left" vertical="center"/>
    </xf>
    <xf numFmtId="0" fontId="2" fillId="3" borderId="8" xfId="0" applyFont="1" applyFill="1" applyBorder="1" applyAlignment="1" applyProtection="1">
      <alignment horizontal="left" vertical="center" wrapText="1"/>
      <protection locked="0"/>
    </xf>
    <xf numFmtId="0" fontId="2" fillId="4" borderId="9" xfId="0" applyFont="1" applyFill="1" applyBorder="1" applyAlignment="1">
      <alignment horizontal="left" vertical="center"/>
    </xf>
    <xf numFmtId="0" fontId="1" fillId="2" borderId="11" xfId="0" applyFont="1" applyFill="1" applyBorder="1" applyAlignment="1">
      <alignment horizontal="left" vertical="center" wrapText="1"/>
    </xf>
    <xf numFmtId="0" fontId="2" fillId="3" borderId="12" xfId="0" applyFont="1" applyFill="1" applyBorder="1" applyAlignment="1" applyProtection="1">
      <alignment horizontal="left" vertical="center"/>
      <protection locked="0"/>
    </xf>
    <xf numFmtId="0" fontId="2" fillId="5" borderId="13" xfId="0" applyFont="1" applyFill="1" applyBorder="1"/>
    <xf numFmtId="0" fontId="2" fillId="5" borderId="14" xfId="0" applyFont="1" applyFill="1" applyBorder="1"/>
    <xf numFmtId="0" fontId="2" fillId="5" borderId="15" xfId="0" applyFont="1" applyFill="1" applyBorder="1"/>
    <xf numFmtId="0" fontId="2" fillId="6" borderId="13" xfId="0" applyFont="1" applyFill="1" applyBorder="1"/>
    <xf numFmtId="0" fontId="2" fillId="6" borderId="14" xfId="0" applyFont="1" applyFill="1" applyBorder="1"/>
    <xf numFmtId="0" fontId="2" fillId="6" borderId="15" xfId="0" applyFont="1" applyFill="1" applyBorder="1"/>
    <xf numFmtId="0" fontId="1" fillId="7" borderId="14" xfId="0" applyFont="1" applyFill="1" applyBorder="1"/>
    <xf numFmtId="0" fontId="1" fillId="8" borderId="13" xfId="0" applyFont="1" applyFill="1" applyBorder="1"/>
    <xf numFmtId="0" fontId="1" fillId="8" borderId="14" xfId="0" applyFont="1" applyFill="1" applyBorder="1"/>
    <xf numFmtId="0" fontId="1" fillId="8" borderId="15" xfId="0" applyFont="1" applyFill="1" applyBorder="1"/>
    <xf numFmtId="0" fontId="1" fillId="2" borderId="16" xfId="0" applyFont="1" applyFill="1" applyBorder="1" applyAlignment="1">
      <alignment horizontal="left" vertical="center" wrapText="1"/>
    </xf>
    <xf numFmtId="0" fontId="1" fillId="3" borderId="17" xfId="0" applyFont="1" applyFill="1" applyBorder="1" applyAlignment="1" applyProtection="1">
      <alignment horizontal="left" vertical="center"/>
      <protection locked="0"/>
    </xf>
    <xf numFmtId="0" fontId="2" fillId="4" borderId="18" xfId="0" applyFont="1" applyFill="1" applyBorder="1" applyAlignment="1">
      <alignment horizontal="center" vertical="center"/>
    </xf>
    <xf numFmtId="0" fontId="1" fillId="2" borderId="19" xfId="0" applyFont="1" applyFill="1" applyBorder="1" applyAlignment="1">
      <alignment horizontal="left" vertical="center" wrapText="1"/>
    </xf>
    <xf numFmtId="0" fontId="2" fillId="3" borderId="17" xfId="0" applyFont="1" applyFill="1" applyBorder="1" applyAlignment="1" applyProtection="1">
      <alignment horizontal="left" vertical="center"/>
      <protection locked="0"/>
    </xf>
    <xf numFmtId="0" fontId="2" fillId="4" borderId="18" xfId="0" applyFont="1" applyFill="1" applyBorder="1" applyAlignment="1">
      <alignment horizontal="left" vertical="center"/>
    </xf>
    <xf numFmtId="0" fontId="3" fillId="9" borderId="19" xfId="0" applyFont="1" applyFill="1" applyBorder="1" applyAlignment="1">
      <alignment horizontal="left" vertical="center" wrapText="1"/>
    </xf>
    <xf numFmtId="0" fontId="2" fillId="3" borderId="20" xfId="0" applyFont="1" applyFill="1" applyBorder="1" applyAlignment="1" applyProtection="1">
      <alignment horizontal="left" vertical="center"/>
      <protection locked="0"/>
    </xf>
    <xf numFmtId="0" fontId="2" fillId="3" borderId="21" xfId="0" applyFont="1" applyFill="1" applyBorder="1" applyAlignment="1" applyProtection="1">
      <alignment horizontal="left" vertical="center"/>
      <protection locked="0"/>
    </xf>
    <xf numFmtId="9" fontId="2" fillId="5" borderId="14" xfId="0" applyNumberFormat="1" applyFont="1" applyFill="1" applyBorder="1"/>
    <xf numFmtId="9" fontId="2" fillId="5" borderId="15" xfId="0" applyNumberFormat="1" applyFont="1" applyFill="1" applyBorder="1"/>
    <xf numFmtId="0" fontId="2" fillId="7" borderId="14" xfId="0" applyFont="1" applyFill="1" applyBorder="1"/>
    <xf numFmtId="0" fontId="2" fillId="8" borderId="13" xfId="0" applyFont="1" applyFill="1" applyBorder="1"/>
    <xf numFmtId="0" fontId="2" fillId="8" borderId="14" xfId="0" applyFont="1" applyFill="1" applyBorder="1"/>
    <xf numFmtId="0" fontId="2" fillId="8" borderId="15" xfId="0" applyFont="1" applyFill="1" applyBorder="1"/>
    <xf numFmtId="0" fontId="1" fillId="3" borderId="22" xfId="0" applyFont="1" applyFill="1" applyBorder="1" applyAlignment="1" applyProtection="1">
      <alignment horizontal="left" vertical="center"/>
      <protection locked="0"/>
    </xf>
    <xf numFmtId="0" fontId="1" fillId="2" borderId="19" xfId="0" applyFont="1" applyFill="1" applyBorder="1" applyAlignment="1">
      <alignment horizontal="left" vertical="center"/>
    </xf>
    <xf numFmtId="0" fontId="1" fillId="2" borderId="0" xfId="0" applyFont="1" applyFill="1" applyAlignment="1">
      <alignment vertical="center"/>
    </xf>
    <xf numFmtId="0" fontId="2" fillId="3" borderId="23" xfId="0" applyFont="1" applyFill="1" applyBorder="1" applyAlignment="1" applyProtection="1">
      <alignment horizontal="left" vertical="center"/>
      <protection locked="0"/>
    </xf>
    <xf numFmtId="0" fontId="1" fillId="10" borderId="17" xfId="0" applyFont="1" applyFill="1" applyBorder="1" applyAlignment="1" applyProtection="1">
      <alignment horizontal="left" vertical="center" wrapText="1"/>
      <protection hidden="1"/>
    </xf>
    <xf numFmtId="0" fontId="3" fillId="9" borderId="24" xfId="0" applyFont="1" applyFill="1" applyBorder="1" applyAlignment="1">
      <alignment horizontal="left" vertical="center" wrapText="1"/>
    </xf>
    <xf numFmtId="0" fontId="2" fillId="3" borderId="22" xfId="0" applyFont="1" applyFill="1" applyBorder="1" applyAlignment="1" applyProtection="1">
      <alignment horizontal="center" vertical="center"/>
      <protection locked="0"/>
    </xf>
    <xf numFmtId="0" fontId="2" fillId="3" borderId="25" xfId="0" applyFont="1" applyFill="1" applyBorder="1" applyAlignment="1" applyProtection="1">
      <alignment horizontal="center" vertical="center"/>
      <protection locked="0"/>
    </xf>
    <xf numFmtId="0" fontId="1" fillId="2" borderId="26" xfId="0" applyFont="1" applyFill="1" applyBorder="1" applyAlignment="1">
      <alignment horizontal="left" vertical="center" wrapText="1"/>
    </xf>
    <xf numFmtId="14" fontId="2" fillId="3" borderId="22" xfId="0" applyNumberFormat="1" applyFont="1" applyFill="1" applyBorder="1" applyAlignment="1" applyProtection="1">
      <alignment horizontal="left" vertical="center" wrapText="1"/>
      <protection locked="0"/>
    </xf>
    <xf numFmtId="0" fontId="2" fillId="4" borderId="27" xfId="0" applyFont="1" applyFill="1" applyBorder="1" applyAlignment="1">
      <alignment horizontal="center" vertical="center"/>
    </xf>
    <xf numFmtId="0" fontId="1" fillId="2" borderId="24" xfId="0" applyFont="1" applyFill="1" applyBorder="1" applyAlignment="1">
      <alignment horizontal="left" vertical="center" wrapText="1"/>
    </xf>
    <xf numFmtId="0" fontId="1" fillId="10" borderId="22" xfId="0" applyFont="1" applyFill="1" applyBorder="1" applyAlignment="1" applyProtection="1">
      <alignment horizontal="left" vertical="center" wrapText="1"/>
      <protection hidden="1"/>
    </xf>
    <xf numFmtId="0" fontId="2" fillId="4" borderId="27" xfId="0" applyFont="1" applyFill="1" applyBorder="1" applyAlignment="1">
      <alignment horizontal="left" vertical="center"/>
    </xf>
    <xf numFmtId="0" fontId="3" fillId="9" borderId="11" xfId="0" applyFont="1" applyFill="1" applyBorder="1" applyAlignment="1">
      <alignment horizontal="left" vertical="center" wrapText="1"/>
    </xf>
    <xf numFmtId="0" fontId="2" fillId="3" borderId="28" xfId="0" applyFont="1" applyFill="1" applyBorder="1" applyAlignment="1" applyProtection="1">
      <alignment horizontal="center" vertical="center"/>
      <protection locked="0"/>
    </xf>
    <xf numFmtId="0" fontId="2" fillId="3" borderId="29" xfId="0" applyFont="1" applyFill="1" applyBorder="1" applyAlignment="1" applyProtection="1">
      <alignment horizontal="center" vertical="center"/>
      <protection locked="0"/>
    </xf>
    <xf numFmtId="0" fontId="4" fillId="11" borderId="13" xfId="0" applyFont="1" applyFill="1" applyBorder="1" applyAlignment="1">
      <alignment horizontal="left" vertical="center" wrapText="1"/>
    </xf>
    <xf numFmtId="0" fontId="4" fillId="11" borderId="14" xfId="0" applyFont="1" applyFill="1" applyBorder="1" applyAlignment="1">
      <alignment horizontal="left" vertical="center" wrapText="1"/>
    </xf>
    <xf numFmtId="0" fontId="4" fillId="11" borderId="14" xfId="0" applyFont="1" applyFill="1" applyBorder="1" applyAlignment="1" applyProtection="1">
      <alignment horizontal="left" vertical="top" wrapText="1"/>
      <protection locked="0"/>
    </xf>
    <xf numFmtId="0" fontId="4" fillId="11" borderId="15" xfId="0" applyFont="1" applyFill="1" applyBorder="1" applyAlignment="1" applyProtection="1">
      <alignment horizontal="left" vertical="top" wrapText="1"/>
      <protection locked="0"/>
    </xf>
    <xf numFmtId="0" fontId="5" fillId="12" borderId="30" xfId="0" applyFont="1" applyFill="1" applyBorder="1" applyAlignment="1">
      <alignment horizontal="left" vertical="center" wrapText="1"/>
    </xf>
    <xf numFmtId="0" fontId="5" fillId="12" borderId="31" xfId="0" applyFont="1" applyFill="1" applyBorder="1" applyAlignment="1">
      <alignment horizontal="left" vertical="center" wrapText="1"/>
    </xf>
    <xf numFmtId="0" fontId="5" fillId="12" borderId="32" xfId="0" applyFont="1" applyFill="1" applyBorder="1" applyAlignment="1" applyProtection="1">
      <alignment horizontal="left" vertical="top" wrapText="1"/>
      <protection locked="0"/>
    </xf>
    <xf numFmtId="0" fontId="5" fillId="12" borderId="33" xfId="0" applyFont="1" applyFill="1" applyBorder="1" applyAlignment="1" applyProtection="1">
      <alignment horizontal="left" vertical="top" wrapText="1"/>
      <protection locked="0"/>
    </xf>
    <xf numFmtId="0" fontId="1" fillId="10" borderId="13" xfId="0" applyFont="1" applyFill="1" applyBorder="1" applyAlignment="1">
      <alignment vertical="center" wrapText="1"/>
    </xf>
    <xf numFmtId="0" fontId="1" fillId="13" borderId="34" xfId="0" applyFont="1" applyFill="1" applyBorder="1" applyAlignment="1" applyProtection="1">
      <alignment vertical="center" wrapText="1"/>
      <protection locked="0"/>
    </xf>
    <xf numFmtId="49" fontId="2" fillId="13" borderId="34" xfId="0" applyNumberFormat="1" applyFont="1" applyFill="1" applyBorder="1" applyAlignment="1">
      <alignment horizontal="left" vertical="top" wrapText="1"/>
    </xf>
    <xf numFmtId="49" fontId="2" fillId="13" borderId="35" xfId="0" applyNumberFormat="1" applyFont="1" applyFill="1" applyBorder="1" applyAlignment="1">
      <alignment horizontal="left" vertical="top" wrapText="1"/>
    </xf>
    <xf numFmtId="0" fontId="2" fillId="0" borderId="0" xfId="0" applyFont="1" applyAlignment="1">
      <alignment horizontal="left" vertical="center"/>
    </xf>
    <xf numFmtId="0" fontId="1" fillId="14" borderId="36" xfId="0" applyFont="1" applyFill="1" applyBorder="1" applyAlignment="1">
      <alignment horizontal="left" vertical="center"/>
    </xf>
    <xf numFmtId="0" fontId="1" fillId="14" borderId="13" xfId="0" applyFont="1" applyFill="1" applyBorder="1" applyAlignment="1">
      <alignment horizontal="left" vertical="center" wrapText="1"/>
    </xf>
    <xf numFmtId="0" fontId="1" fillId="14" borderId="14" xfId="0" applyFont="1" applyFill="1" applyBorder="1" applyAlignment="1">
      <alignment horizontal="left" vertical="center" wrapText="1"/>
    </xf>
    <xf numFmtId="0" fontId="1" fillId="14" borderId="15" xfId="0" applyFont="1" applyFill="1" applyBorder="1" applyAlignment="1">
      <alignment horizontal="left" vertical="center" wrapText="1"/>
    </xf>
    <xf numFmtId="0" fontId="1" fillId="14" borderId="36" xfId="0" applyFont="1" applyFill="1" applyBorder="1" applyAlignment="1">
      <alignment horizontal="left" vertical="center" wrapText="1"/>
    </xf>
    <xf numFmtId="0" fontId="1" fillId="14" borderId="13" xfId="0" applyFont="1" applyFill="1" applyBorder="1" applyAlignment="1">
      <alignment horizontal="left" vertical="center"/>
    </xf>
    <xf numFmtId="0" fontId="1" fillId="14" borderId="14" xfId="0" applyFont="1" applyFill="1" applyBorder="1" applyAlignment="1">
      <alignment horizontal="left" vertical="center"/>
    </xf>
    <xf numFmtId="0" fontId="1" fillId="14" borderId="15" xfId="0" applyFont="1" applyFill="1" applyBorder="1" applyAlignment="1">
      <alignment horizontal="left" vertical="center"/>
    </xf>
    <xf numFmtId="0" fontId="1" fillId="11" borderId="13" xfId="0" applyFont="1" applyFill="1" applyBorder="1" applyAlignment="1">
      <alignment horizontal="center" vertical="center"/>
    </xf>
    <xf numFmtId="0" fontId="1" fillId="11" borderId="37" xfId="0" applyFont="1" applyFill="1" applyBorder="1" applyAlignment="1">
      <alignment horizontal="center" vertical="center"/>
    </xf>
    <xf numFmtId="0" fontId="1" fillId="11" borderId="37" xfId="0" applyFont="1" applyFill="1" applyBorder="1" applyAlignment="1">
      <alignment vertical="center"/>
    </xf>
    <xf numFmtId="0" fontId="1" fillId="11" borderId="38" xfId="0" applyFont="1" applyFill="1" applyBorder="1" applyAlignment="1">
      <alignment horizontal="right" vertical="center"/>
    </xf>
    <xf numFmtId="2" fontId="1" fillId="0" borderId="39" xfId="0" applyNumberFormat="1" applyFont="1" applyBorder="1" applyAlignment="1">
      <alignment horizontal="left" vertical="center" indent="1"/>
    </xf>
    <xf numFmtId="9" fontId="2" fillId="0" borderId="0" xfId="0" applyNumberFormat="1" applyFont="1"/>
    <xf numFmtId="0" fontId="1" fillId="6" borderId="38" xfId="0" applyFont="1" applyFill="1" applyBorder="1" applyAlignment="1">
      <alignment horizontal="left" vertical="top" wrapText="1"/>
    </xf>
    <xf numFmtId="0" fontId="2" fillId="6" borderId="40" xfId="0" applyFont="1" applyFill="1" applyBorder="1" applyAlignment="1">
      <alignment horizontal="left" vertical="center" wrapText="1"/>
    </xf>
    <xf numFmtId="0" fontId="2" fillId="6" borderId="34" xfId="0" applyFont="1" applyFill="1" applyBorder="1" applyAlignment="1">
      <alignment horizontal="left" vertical="center" wrapText="1"/>
    </xf>
    <xf numFmtId="0" fontId="2" fillId="6" borderId="35" xfId="0" applyFont="1" applyFill="1" applyBorder="1" applyAlignment="1">
      <alignment horizontal="left" vertical="center" wrapText="1"/>
    </xf>
    <xf numFmtId="0" fontId="2" fillId="3" borderId="41" xfId="0" applyFont="1" applyFill="1" applyBorder="1" applyAlignment="1" applyProtection="1">
      <alignment horizontal="left" vertical="center" wrapText="1"/>
      <protection locked="0"/>
    </xf>
    <xf numFmtId="0" fontId="2" fillId="3" borderId="38" xfId="0" applyFont="1" applyFill="1" applyBorder="1" applyAlignment="1" applyProtection="1">
      <alignment horizontal="left" vertical="top" wrapText="1"/>
      <protection locked="0"/>
    </xf>
    <xf numFmtId="0" fontId="2" fillId="3" borderId="37" xfId="0" applyFont="1" applyFill="1" applyBorder="1" applyAlignment="1" applyProtection="1">
      <alignment horizontal="left" vertical="top" wrapText="1"/>
      <protection locked="0"/>
    </xf>
    <xf numFmtId="0" fontId="2" fillId="3" borderId="42" xfId="0" applyFont="1" applyFill="1" applyBorder="1" applyAlignment="1" applyProtection="1">
      <alignment horizontal="left" vertical="top" wrapText="1"/>
      <protection locked="0"/>
    </xf>
    <xf numFmtId="0" fontId="1" fillId="6" borderId="43" xfId="0" applyFont="1" applyFill="1" applyBorder="1" applyAlignment="1">
      <alignment horizontal="left" vertical="top" wrapText="1"/>
    </xf>
    <xf numFmtId="0" fontId="2" fillId="3" borderId="43" xfId="0" applyFont="1" applyFill="1" applyBorder="1" applyAlignment="1" applyProtection="1">
      <alignment horizontal="left" vertical="top" wrapText="1"/>
      <protection locked="0"/>
    </xf>
    <xf numFmtId="0" fontId="2" fillId="3" borderId="0" xfId="0" applyFont="1" applyFill="1" applyAlignment="1" applyProtection="1">
      <alignment horizontal="left" vertical="top" wrapText="1"/>
      <protection locked="0"/>
    </xf>
    <xf numFmtId="0" fontId="2" fillId="3" borderId="29" xfId="0" applyFont="1" applyFill="1" applyBorder="1" applyAlignment="1" applyProtection="1">
      <alignment horizontal="left" vertical="top" wrapText="1"/>
      <protection locked="0"/>
    </xf>
    <xf numFmtId="0" fontId="2" fillId="6" borderId="13" xfId="0" applyFont="1" applyFill="1" applyBorder="1" applyAlignment="1">
      <alignment horizontal="left" vertical="center" wrapText="1"/>
    </xf>
    <xf numFmtId="0" fontId="2" fillId="6" borderId="14" xfId="0" applyFont="1" applyFill="1" applyBorder="1" applyAlignment="1">
      <alignment horizontal="left" vertical="center" wrapText="1"/>
    </xf>
    <xf numFmtId="0" fontId="2" fillId="6" borderId="15" xfId="0" applyFont="1" applyFill="1" applyBorder="1" applyAlignment="1">
      <alignment horizontal="left" vertical="center" wrapText="1"/>
    </xf>
    <xf numFmtId="0" fontId="2" fillId="3" borderId="44" xfId="0" applyFont="1" applyFill="1" applyBorder="1" applyAlignment="1" applyProtection="1">
      <alignment horizontal="left" vertical="top" wrapText="1"/>
      <protection locked="0"/>
    </xf>
    <xf numFmtId="0" fontId="2" fillId="3" borderId="32" xfId="0" applyFont="1" applyFill="1" applyBorder="1" applyAlignment="1" applyProtection="1">
      <alignment horizontal="left" vertical="top" wrapText="1"/>
      <protection locked="0"/>
    </xf>
    <xf numFmtId="0" fontId="2" fillId="3" borderId="33" xfId="0" applyFont="1" applyFill="1" applyBorder="1" applyAlignment="1" applyProtection="1">
      <alignment horizontal="left" vertical="top" wrapText="1"/>
      <protection locked="0"/>
    </xf>
    <xf numFmtId="0" fontId="1" fillId="6" borderId="36" xfId="0" applyFont="1" applyFill="1" applyBorder="1" applyAlignment="1">
      <alignment vertical="top" wrapText="1"/>
    </xf>
    <xf numFmtId="0" fontId="6" fillId="15" borderId="13" xfId="0" applyFont="1" applyFill="1" applyBorder="1" applyAlignment="1">
      <alignment horizontal="left" vertical="top" wrapText="1"/>
    </xf>
    <xf numFmtId="0" fontId="6" fillId="15" borderId="14" xfId="0" applyFont="1" applyFill="1" applyBorder="1" applyAlignment="1">
      <alignment horizontal="left" vertical="top" wrapText="1"/>
    </xf>
    <xf numFmtId="0" fontId="6" fillId="15" borderId="15" xfId="0" applyFont="1" applyFill="1" applyBorder="1" applyAlignment="1">
      <alignment horizontal="left" vertical="top" wrapText="1"/>
    </xf>
    <xf numFmtId="0" fontId="2" fillId="3" borderId="13" xfId="0" applyFont="1" applyFill="1" applyBorder="1" applyAlignment="1" applyProtection="1">
      <alignment horizontal="left" vertical="top" wrapText="1"/>
      <protection locked="0"/>
    </xf>
    <xf numFmtId="0" fontId="2" fillId="3" borderId="14" xfId="0" applyFont="1" applyFill="1" applyBorder="1" applyAlignment="1" applyProtection="1">
      <alignment horizontal="left" vertical="top" wrapText="1"/>
      <protection locked="0"/>
    </xf>
    <xf numFmtId="0" fontId="2" fillId="3" borderId="15" xfId="0" applyFont="1" applyFill="1" applyBorder="1" applyAlignment="1" applyProtection="1">
      <alignment horizontal="left" vertical="top" wrapText="1"/>
      <protection locked="0"/>
    </xf>
    <xf numFmtId="0" fontId="1" fillId="11" borderId="32" xfId="0" applyFont="1" applyFill="1" applyBorder="1" applyAlignment="1">
      <alignment horizontal="center" vertical="center"/>
    </xf>
    <xf numFmtId="0" fontId="1" fillId="11" borderId="14" xfId="0" applyFont="1" applyFill="1" applyBorder="1" applyAlignment="1">
      <alignment horizontal="center" vertical="center"/>
    </xf>
    <xf numFmtId="0" fontId="1" fillId="11" borderId="14" xfId="0" applyFont="1" applyFill="1" applyBorder="1" applyAlignment="1">
      <alignment vertical="center"/>
    </xf>
    <xf numFmtId="0" fontId="1" fillId="11" borderId="13" xfId="0" applyFont="1" applyFill="1" applyBorder="1" applyAlignment="1">
      <alignment horizontal="right" vertical="center"/>
    </xf>
    <xf numFmtId="1" fontId="1" fillId="0" borderId="36" xfId="0" applyNumberFormat="1" applyFont="1" applyBorder="1" applyAlignment="1">
      <alignment horizontal="left" vertical="center" indent="1"/>
    </xf>
    <xf numFmtId="0" fontId="1" fillId="6" borderId="39" xfId="0" applyFont="1" applyFill="1" applyBorder="1" applyAlignment="1">
      <alignment horizontal="left" vertical="top" wrapText="1"/>
    </xf>
    <xf numFmtId="0" fontId="1" fillId="6" borderId="45" xfId="0" applyFont="1" applyFill="1" applyBorder="1" applyAlignment="1">
      <alignment horizontal="left" vertical="top" wrapText="1"/>
    </xf>
    <xf numFmtId="0" fontId="1" fillId="6" borderId="46" xfId="0" applyFont="1" applyFill="1" applyBorder="1" applyAlignment="1">
      <alignment horizontal="left" vertical="top" wrapText="1"/>
    </xf>
    <xf numFmtId="0" fontId="1" fillId="6" borderId="47" xfId="0" applyFont="1" applyFill="1" applyBorder="1" applyAlignment="1">
      <alignment horizontal="left" vertical="top" wrapText="1"/>
    </xf>
    <xf numFmtId="0" fontId="6" fillId="15" borderId="13" xfId="0" applyFont="1" applyFill="1" applyBorder="1" applyAlignment="1">
      <alignment horizontal="left" vertical="center" wrapText="1"/>
    </xf>
    <xf numFmtId="0" fontId="6" fillId="15" borderId="14" xfId="0" applyFont="1" applyFill="1" applyBorder="1" applyAlignment="1">
      <alignment horizontal="left" vertical="center" wrapText="1"/>
    </xf>
    <xf numFmtId="0" fontId="6" fillId="15" borderId="15" xfId="0" applyFont="1" applyFill="1" applyBorder="1" applyAlignment="1">
      <alignment horizontal="left" vertical="center" wrapText="1"/>
    </xf>
    <xf numFmtId="0" fontId="2" fillId="3" borderId="36" xfId="0" applyFont="1" applyFill="1" applyBorder="1" applyAlignment="1" applyProtection="1">
      <alignment horizontal="left" vertical="center" wrapText="1"/>
      <protection locked="0"/>
    </xf>
    <xf numFmtId="0" fontId="1" fillId="6" borderId="48" xfId="0" applyFont="1" applyFill="1" applyBorder="1" applyAlignment="1">
      <alignment horizontal="left" vertical="top" wrapText="1"/>
    </xf>
    <xf numFmtId="0" fontId="3" fillId="16" borderId="13" xfId="0" applyFont="1" applyFill="1" applyBorder="1" applyAlignment="1">
      <alignment horizontal="center" vertical="center"/>
    </xf>
    <xf numFmtId="0" fontId="3" fillId="16" borderId="14" xfId="0" applyFont="1" applyFill="1" applyBorder="1" applyAlignment="1">
      <alignment horizontal="center" vertical="center"/>
    </xf>
    <xf numFmtId="0" fontId="3" fillId="16" borderId="14" xfId="0" applyFont="1" applyFill="1" applyBorder="1" applyAlignment="1">
      <alignment vertical="center"/>
    </xf>
    <xf numFmtId="0" fontId="3" fillId="16" borderId="13" xfId="0" applyFont="1" applyFill="1" applyBorder="1" applyAlignment="1">
      <alignment horizontal="right" vertical="center"/>
    </xf>
    <xf numFmtId="1" fontId="3" fillId="0" borderId="36" xfId="0" applyNumberFormat="1" applyFont="1" applyBorder="1" applyAlignment="1">
      <alignment horizontal="left" vertical="center" indent="1"/>
    </xf>
    <xf numFmtId="0" fontId="3" fillId="16" borderId="44" xfId="0" applyFont="1" applyFill="1" applyBorder="1" applyAlignment="1">
      <alignment horizontal="center" vertical="center"/>
    </xf>
    <xf numFmtId="0" fontId="2" fillId="6" borderId="13" xfId="0" applyFont="1" applyFill="1" applyBorder="1" applyAlignment="1">
      <alignment horizontal="left" vertical="top" wrapText="1"/>
    </xf>
    <xf numFmtId="0" fontId="2" fillId="6" borderId="14" xfId="0" applyFont="1" applyFill="1" applyBorder="1" applyAlignment="1">
      <alignment horizontal="left" vertical="top" wrapText="1"/>
    </xf>
    <xf numFmtId="0" fontId="2" fillId="6" borderId="15" xfId="0" applyFont="1" applyFill="1" applyBorder="1" applyAlignment="1">
      <alignment horizontal="left" vertical="top" wrapText="1"/>
    </xf>
    <xf numFmtId="0" fontId="2" fillId="6" borderId="49" xfId="0" applyFont="1" applyFill="1" applyBorder="1" applyAlignment="1">
      <alignment horizontal="left" vertical="top" wrapText="1"/>
    </xf>
    <xf numFmtId="0" fontId="3" fillId="16" borderId="15" xfId="0" applyFont="1" applyFill="1" applyBorder="1" applyAlignment="1">
      <alignment horizontal="center" vertical="center"/>
    </xf>
    <xf numFmtId="0" fontId="3" fillId="6" borderId="50" xfId="0" applyFont="1" applyFill="1" applyBorder="1" applyAlignment="1">
      <alignment horizontal="left" vertical="top" wrapText="1"/>
    </xf>
    <xf numFmtId="0" fontId="2" fillId="6" borderId="51" xfId="0" applyFont="1" applyFill="1" applyBorder="1" applyAlignment="1">
      <alignment vertical="top" wrapText="1"/>
    </xf>
    <xf numFmtId="0" fontId="2" fillId="6" borderId="5" xfId="0" applyFont="1" applyFill="1" applyBorder="1" applyAlignment="1">
      <alignment vertical="top" wrapText="1"/>
    </xf>
    <xf numFmtId="0" fontId="3" fillId="6" borderId="13" xfId="0" applyFont="1" applyFill="1" applyBorder="1" applyAlignment="1">
      <alignment horizontal="left" vertical="center" wrapText="1"/>
    </xf>
    <xf numFmtId="0" fontId="3" fillId="6" borderId="14" xfId="0" applyFont="1" applyFill="1" applyBorder="1" applyAlignment="1">
      <alignment horizontal="left" vertical="center" wrapText="1"/>
    </xf>
    <xf numFmtId="0" fontId="3" fillId="6" borderId="15" xfId="0" applyFont="1" applyFill="1" applyBorder="1" applyAlignment="1">
      <alignment horizontal="left" vertical="center" wrapText="1"/>
    </xf>
    <xf numFmtId="0" fontId="2" fillId="4" borderId="52" xfId="0" applyFont="1" applyFill="1" applyBorder="1" applyAlignment="1">
      <alignment horizontal="center" vertical="center"/>
    </xf>
    <xf numFmtId="0" fontId="2" fillId="4" borderId="52" xfId="0" applyFont="1" applyFill="1" applyBorder="1" applyAlignment="1">
      <alignment horizontal="left" vertical="center"/>
    </xf>
    <xf numFmtId="9" fontId="2" fillId="5" borderId="13" xfId="0" applyNumberFormat="1" applyFont="1" applyFill="1" applyBorder="1"/>
    <xf numFmtId="0" fontId="1" fillId="10" borderId="17" xfId="0" applyFont="1" applyFill="1" applyBorder="1" applyAlignment="1">
      <alignment vertical="center"/>
    </xf>
    <xf numFmtId="0" fontId="2" fillId="4" borderId="53" xfId="0" applyFont="1" applyFill="1" applyBorder="1" applyAlignment="1">
      <alignment horizontal="center" vertical="center"/>
    </xf>
    <xf numFmtId="0" fontId="2" fillId="4" borderId="53" xfId="0" applyFont="1" applyFill="1" applyBorder="1" applyAlignment="1">
      <alignment horizontal="left" vertical="center"/>
    </xf>
    <xf numFmtId="0" fontId="5" fillId="12" borderId="43" xfId="0" applyFont="1" applyFill="1" applyBorder="1" applyAlignment="1">
      <alignment horizontal="left" vertical="center" wrapText="1"/>
    </xf>
    <xf numFmtId="0" fontId="5" fillId="12" borderId="0" xfId="0" applyFont="1" applyFill="1" applyAlignment="1">
      <alignment horizontal="left" vertical="center" wrapText="1"/>
    </xf>
    <xf numFmtId="0" fontId="5" fillId="12" borderId="0" xfId="0" applyFont="1" applyFill="1" applyAlignment="1" applyProtection="1">
      <alignment horizontal="left" vertical="top" wrapText="1"/>
      <protection locked="0"/>
    </xf>
    <xf numFmtId="0" fontId="5" fillId="12" borderId="29" xfId="0" applyFont="1" applyFill="1" applyBorder="1" applyAlignment="1" applyProtection="1">
      <alignment horizontal="left" vertical="top" wrapText="1"/>
      <protection locked="0"/>
    </xf>
    <xf numFmtId="0" fontId="2" fillId="13" borderId="34" xfId="0" applyFont="1" applyFill="1" applyBorder="1" applyAlignment="1">
      <alignment horizontal="left" vertical="top" wrapText="1"/>
    </xf>
    <xf numFmtId="0" fontId="2" fillId="13" borderId="35" xfId="0" applyFont="1" applyFill="1" applyBorder="1" applyAlignment="1">
      <alignment horizontal="left" vertical="top" wrapText="1"/>
    </xf>
    <xf numFmtId="0" fontId="1" fillId="14" borderId="46" xfId="0" applyFont="1" applyFill="1" applyBorder="1" applyAlignment="1">
      <alignment horizontal="left" vertical="center"/>
    </xf>
    <xf numFmtId="0" fontId="1" fillId="14" borderId="44" xfId="0" applyFont="1" applyFill="1" applyBorder="1" applyAlignment="1">
      <alignment horizontal="left" vertical="center" wrapText="1"/>
    </xf>
    <xf numFmtId="0" fontId="1" fillId="14" borderId="32" xfId="0" applyFont="1" applyFill="1" applyBorder="1" applyAlignment="1">
      <alignment horizontal="left" vertical="center" wrapText="1"/>
    </xf>
    <xf numFmtId="0" fontId="1" fillId="14" borderId="33" xfId="0" applyFont="1" applyFill="1" applyBorder="1" applyAlignment="1">
      <alignment horizontal="left" vertical="center" wrapText="1"/>
    </xf>
    <xf numFmtId="0" fontId="1" fillId="14" borderId="46" xfId="0" applyFont="1" applyFill="1" applyBorder="1" applyAlignment="1">
      <alignment horizontal="left" vertical="center" wrapText="1"/>
    </xf>
    <xf numFmtId="0" fontId="1" fillId="14" borderId="44" xfId="0" applyFont="1" applyFill="1" applyBorder="1" applyAlignment="1">
      <alignment horizontal="left" vertical="center"/>
    </xf>
    <xf numFmtId="0" fontId="1" fillId="14" borderId="32" xfId="0" applyFont="1" applyFill="1" applyBorder="1" applyAlignment="1">
      <alignment horizontal="left" vertical="center"/>
    </xf>
    <xf numFmtId="0" fontId="1" fillId="14" borderId="33" xfId="0" applyFont="1" applyFill="1" applyBorder="1" applyAlignment="1">
      <alignment horizontal="left" vertical="center"/>
    </xf>
    <xf numFmtId="9" fontId="2" fillId="0" borderId="0" xfId="0" applyNumberFormat="1" applyFont="1" applyAlignment="1">
      <alignment horizontal="left" vertical="center"/>
    </xf>
    <xf numFmtId="0" fontId="2" fillId="3" borderId="41" xfId="0" applyFont="1" applyFill="1" applyBorder="1" applyAlignment="1">
      <alignment horizontal="left" vertical="center" wrapText="1"/>
    </xf>
    <xf numFmtId="0" fontId="2" fillId="3" borderId="13" xfId="0" applyFont="1" applyFill="1" applyBorder="1" applyAlignment="1">
      <alignment horizontal="left" vertical="center" wrapText="1"/>
    </xf>
    <xf numFmtId="0" fontId="2" fillId="3" borderId="36" xfId="0" applyFont="1" applyFill="1" applyBorder="1" applyAlignment="1">
      <alignment horizontal="left" vertical="center" wrapText="1"/>
    </xf>
    <xf numFmtId="0" fontId="2" fillId="3" borderId="13" xfId="0" applyFont="1" applyFill="1" applyBorder="1" applyAlignment="1">
      <alignment horizontal="left" vertical="top" wrapText="1"/>
    </xf>
    <xf numFmtId="0" fontId="2" fillId="3" borderId="14" xfId="0" applyFont="1" applyFill="1" applyBorder="1" applyAlignment="1">
      <alignment horizontal="left" vertical="top" wrapText="1"/>
    </xf>
    <xf numFmtId="0" fontId="2" fillId="3" borderId="15" xfId="0" applyFont="1" applyFill="1" applyBorder="1" applyAlignment="1">
      <alignment horizontal="left" vertical="top" wrapText="1"/>
    </xf>
    <xf numFmtId="0" fontId="2" fillId="10" borderId="0" xfId="0" applyFont="1" applyFill="1"/>
    <xf numFmtId="0" fontId="2" fillId="0" borderId="0" xfId="0" applyFont="1" applyAlignment="1">
      <alignment horizontal="left"/>
    </xf>
  </cellXfs>
  <cellStyles count="1">
    <cellStyle name="Normal" xfId="0" builtinId="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4.xml"/><Relationship Id="rId6" Type="http://schemas.openxmlformats.org/officeDocument/2006/relationships/worksheet" Target="worksheets/sheet2.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3.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AC44"/>
  <sheetViews>
    <sheetView workbookViewId="0" zoomScale="125" zoomScaleNormal="150">
      <selection activeCell="AE26" sqref="AE26"/>
    </sheetView>
  </sheetViews>
  <sheetFormatPr defaultRowHeight="22" outlineLevelRow="0" outlineLevelCol="0" x14ac:dyDescent="0.2" defaultColWidth="11" customHeight="1"/>
  <cols>
    <col min="1" max="1" width="2" customWidth="1"/>
    <col min="2" max="2" width="21" customWidth="1"/>
    <col min="3" max="3" width="20.33203125" customWidth="1"/>
    <col min="4" max="4" width="2.83203125" customWidth="1"/>
    <col min="5" max="5" width="39.1640625" customWidth="1"/>
    <col min="6" max="6" width="24.1640625" customWidth="1"/>
    <col min="7" max="7" width="2.1640625" customWidth="1"/>
    <col min="8" max="8" width="24" customWidth="1"/>
    <col min="11" max="11" width="6.83203125" hidden="1" customWidth="1"/>
    <col min="12" max="12" width="10.83203125" hidden="1" customWidth="1"/>
    <col min="13" max="13" width="12.5" hidden="1" customWidth="1"/>
    <col min="14" max="16" width="10.83203125" hidden="1" customWidth="1"/>
    <col min="17" max="17" width="12.83203125" hidden="1" customWidth="1"/>
    <col min="18" max="18" width="10.83203125" hidden="1" customWidth="1"/>
    <col min="19" max="19" width="9.83203125" hidden="1" customWidth="1"/>
    <col min="20" max="20" width="14.1640625" hidden="1" customWidth="1"/>
    <col min="21" max="21" width="13.5" hidden="1" customWidth="1"/>
    <col min="22" max="26" width="10.83203125" hidden="1" customWidth="1"/>
    <col min="27" max="27" width="13.33203125" hidden="1" customWidth="1"/>
    <col min="28" max="28" width="11.5" hidden="1" customWidth="1"/>
    <col min="29" max="29" width="6.33203125" hidden="1" customWidth="1"/>
  </cols>
  <sheetData>
    <row r="1" ht="11" customHeight="1" x14ac:dyDescent="0.25"/>
    <row r="2" ht="22" customHeight="1" spans="2:10" x14ac:dyDescent="0.25">
      <c r="B2" s="1" t="s">
        <v>0</v>
      </c>
      <c r="C2" s="2"/>
      <c r="D2" s="2"/>
      <c r="E2" s="2"/>
      <c r="F2" s="2"/>
      <c r="G2" s="2"/>
      <c r="H2" s="2"/>
      <c r="I2" s="2"/>
      <c r="J2" s="3"/>
    </row>
    <row r="3" ht="22" customHeight="1" spans="2:10" x14ac:dyDescent="0.25">
      <c r="B3" s="4"/>
      <c r="C3" s="5"/>
      <c r="D3" s="5"/>
      <c r="E3" s="5"/>
      <c r="F3" s="5"/>
      <c r="G3" s="5"/>
      <c r="H3" s="5"/>
      <c r="I3" s="5"/>
      <c r="J3" s="6"/>
    </row>
    <row r="4" ht="22" customHeight="1" spans="2:29" x14ac:dyDescent="0.25">
      <c r="B4" s="7" t="s">
        <v>1</v>
      </c>
      <c r="C4" s="8"/>
      <c r="D4" s="9"/>
      <c r="E4" s="10" t="s">
        <v>2</v>
      </c>
      <c r="F4" s="11"/>
      <c r="G4" s="12"/>
      <c r="H4" s="13" t="s">
        <v>3</v>
      </c>
      <c r="I4" s="8"/>
      <c r="J4" s="14"/>
      <c r="M4" s="15" t="s">
        <v>4</v>
      </c>
      <c r="N4" s="16" t="s">
        <v>5</v>
      </c>
      <c r="O4" s="16" t="s">
        <v>6</v>
      </c>
      <c r="P4" s="16" t="s">
        <v>7</v>
      </c>
      <c r="Q4" s="17" t="s">
        <v>8</v>
      </c>
      <c r="R4" s="18" t="s">
        <v>9</v>
      </c>
      <c r="S4" s="19" t="s">
        <v>10</v>
      </c>
      <c r="T4" s="19" t="s">
        <v>11</v>
      </c>
      <c r="U4" s="20" t="s">
        <v>12</v>
      </c>
      <c r="V4" s="21" t="s">
        <v>13</v>
      </c>
      <c r="W4" s="21" t="s">
        <v>14</v>
      </c>
      <c r="X4" s="21" t="s">
        <v>15</v>
      </c>
      <c r="Y4" s="21" t="s">
        <v>16</v>
      </c>
      <c r="Z4" s="21" t="s">
        <v>17</v>
      </c>
      <c r="AA4" s="22" t="s">
        <v>18</v>
      </c>
      <c r="AB4" s="23" t="s">
        <v>5</v>
      </c>
      <c r="AC4" s="24" t="s">
        <v>8</v>
      </c>
    </row>
    <row r="5" ht="22" customHeight="1" spans="2:29" x14ac:dyDescent="0.25">
      <c r="B5" s="25" t="s">
        <v>19</v>
      </c>
      <c r="C5" s="26"/>
      <c r="D5" s="27"/>
      <c r="E5" s="28" t="s">
        <v>20</v>
      </c>
      <c r="F5" s="29"/>
      <c r="G5" s="30"/>
      <c r="H5" s="31" t="s">
        <v>21</v>
      </c>
      <c r="I5" s="32"/>
      <c r="J5" s="33"/>
      <c r="M5" s="15" t="str">
        <f>L13</f>
        <v>No Experience</v>
      </c>
      <c r="N5" s="34" t="str">
        <f>L20</f>
        <v>Rejected</v>
      </c>
      <c r="O5" s="34" t="str">
        <f>L27</f>
        <v>Rejected</v>
      </c>
      <c r="P5" s="34" t="str">
        <f>L35</f>
        <v>-</v>
      </c>
      <c r="Q5" s="35" t="str">
        <f>L38</f>
        <v>No Experience</v>
      </c>
      <c r="R5" s="18">
        <f>COUNTIF(M5:Q5,"SAL2")</f>
        <v>0</v>
      </c>
      <c r="S5" s="19">
        <f>COUNTIF(M5:Q5,"SAL1")+COUNTIF(M5:Q5,"Sr Associate")</f>
        <v>0</v>
      </c>
      <c r="T5" s="19">
        <f>COUNTIF(M5:P5,"Associate")+COUNTIF(M5:P5,"AL2")+COUNTIF(M5:P5,"AL1")</f>
        <v>0</v>
      </c>
      <c r="U5" s="20">
        <f>COUNTIF(N5:O5,"REJECTED")</f>
        <v>2</v>
      </c>
      <c r="V5" s="36" t="b">
        <f>U5&gt;0</f>
        <v>1</v>
      </c>
      <c r="W5" s="36" t="b">
        <f>AND(R5&gt;=3,O5="SAL2",T5=0,NOT(V5))</f>
        <v>0</v>
      </c>
      <c r="X5" s="36" t="b">
        <f>AND(OR(AND(O5="SAL1",N5&lt;&gt;"AL1",N5&lt;&gt;"AL2"),AND(O5="SAL2",N5&lt;&gt;"AL1")),NOT(V5),NOT(W5))</f>
        <v>0</v>
      </c>
      <c r="Y5" s="36" t="b">
        <f>AND(N5="AL1",O5="Associate",Q5="No Experience",NOT(V5),NOT(W5),NOT(X5))</f>
        <v>0</v>
      </c>
      <c r="Z5" s="36" t="b">
        <f>AND(NOT(V5),NOT(W5),NOT(X5),NOT(Y5))</f>
        <v>0</v>
      </c>
      <c r="AA5" s="37" t="str">
        <f>IF(V5,"REJECTED",IF(W5,"Lead Experience Engineer",IF(X5,"Senior Experience Engineer",IF(Y5,"Experience Engineer L1",IF(Z5,"Experience Engineer L2","Thinking")))))</f>
        <v>REJECTED</v>
      </c>
      <c r="AB5" s="38" t="b">
        <f>OR(AND(AA5="AL2",N5="AL1"),AND(AA5="SAL1",N5="AL2"),AND(AA5="SAL2",N5="SAL1"))</f>
        <v>0</v>
      </c>
      <c r="AC5" s="39" t="b">
        <f>AND(NOT(V5),OR(Q5="No Experience",AND(OR(AA5="SAL1",AA5="SAL2"),Q5="Associate")))</f>
        <v>0</v>
      </c>
    </row>
    <row r="6" ht="22" customHeight="1" spans="2:10" x14ac:dyDescent="0.25">
      <c r="B6" s="25" t="s">
        <v>22</v>
      </c>
      <c r="C6" s="40"/>
      <c r="D6" s="27"/>
      <c r="E6" s="41" t="s">
        <v>23</v>
      </c>
      <c r="F6" s="29"/>
      <c r="G6" s="30"/>
      <c r="H6" s="42" t="s">
        <v>24</v>
      </c>
      <c r="I6" s="29"/>
      <c r="J6" s="43"/>
    </row>
    <row r="7" ht="22" customHeight="1" spans="2:10" x14ac:dyDescent="0.25">
      <c r="B7" s="25" t="s">
        <v>25</v>
      </c>
      <c r="C7" s="29"/>
      <c r="D7" s="27"/>
      <c r="E7" s="41" t="s">
        <v>26</v>
      </c>
      <c r="F7" s="44" t="str">
        <f>AA5</f>
        <v>REJECTED</v>
      </c>
      <c r="G7" s="30"/>
      <c r="H7" s="45" t="s">
        <v>27</v>
      </c>
      <c r="I7" s="46"/>
      <c r="J7" s="47"/>
    </row>
    <row r="8" ht="22" customHeight="1" spans="2:10" x14ac:dyDescent="0.25">
      <c r="B8" s="48" t="s">
        <v>28</v>
      </c>
      <c r="C8" s="49"/>
      <c r="D8" s="50"/>
      <c r="E8" s="51" t="s">
        <v>29</v>
      </c>
      <c r="F8" s="52" t="str">
        <f>IF(AB5,IF(AC5,"HTML/CSS &amp; NFR ","HTML/CSS"),IF(AC5,"NFR","No trainings required"))</f>
        <v>No trainings required</v>
      </c>
      <c r="G8" s="53"/>
      <c r="H8" s="54"/>
      <c r="I8" s="55"/>
      <c r="J8" s="56"/>
    </row>
    <row r="9" ht="33" customHeight="1" spans="2:10" x14ac:dyDescent="0.25">
      <c r="B9" s="57" t="s">
        <v>30</v>
      </c>
      <c r="C9" s="58"/>
      <c r="D9" s="59"/>
      <c r="E9" s="59"/>
      <c r="F9" s="59"/>
      <c r="G9" s="59"/>
      <c r="H9" s="59"/>
      <c r="I9" s="59"/>
      <c r="J9" s="60"/>
    </row>
    <row r="10" ht="33" customHeight="1" spans="2:10" x14ac:dyDescent="0.25">
      <c r="B10" s="61" t="s">
        <v>31</v>
      </c>
      <c r="C10" s="62"/>
      <c r="D10" s="63"/>
      <c r="E10" s="63"/>
      <c r="F10" s="63"/>
      <c r="G10" s="63"/>
      <c r="H10" s="63"/>
      <c r="I10" s="63"/>
      <c r="J10" s="64"/>
    </row>
    <row r="11" ht="72" customHeight="1" spans="2:10" x14ac:dyDescent="0.25">
      <c r="B11" s="65" t="s">
        <v>32</v>
      </c>
      <c r="C11" s="66" t="s">
        <v>33</v>
      </c>
      <c r="D11" s="67" t="str">
        <f>IFERROR(VLOOKUP(C11,'Core Exercise'!A1:B8,2,FALSE),"Choose the exercise from left side column")</f>
        <v>Create a vanilla JS application that consumes the https://pokeapi.co/api/v2/pokemon/ API and displays a dropdown list of pokemons. When the user selects a pokemon from the dropdown, the application should make a second API call using the "url" returned in the first API call to fetch the pokemon's details, including its abilities, and display them on the page. Once the details are fetched, they should be cached and the application should not make another API call for that pokemon again.</v>
      </c>
      <c r="E11" s="67"/>
      <c r="F11" s="67"/>
      <c r="G11" s="67"/>
      <c r="H11" s="67"/>
      <c r="I11" s="67"/>
      <c r="J11" s="68"/>
    </row>
    <row r="12" ht="22" customHeight="1" spans="2:10" s="69" customFormat="1" x14ac:dyDescent="0.25">
      <c r="B12" s="70" t="s">
        <v>34</v>
      </c>
      <c r="C12" s="71" t="s">
        <v>35</v>
      </c>
      <c r="D12" s="72"/>
      <c r="E12" s="73"/>
      <c r="F12" s="74" t="s">
        <v>36</v>
      </c>
      <c r="G12" s="75" t="s">
        <v>37</v>
      </c>
      <c r="H12" s="76"/>
      <c r="I12" s="76"/>
      <c r="J12" s="77"/>
    </row>
    <row r="13" ht="40" customHeight="1" spans="2:12" x14ac:dyDescent="0.25">
      <c r="B13" s="78" t="s">
        <v>38</v>
      </c>
      <c r="C13" s="79"/>
      <c r="D13" s="79"/>
      <c r="E13" s="79"/>
      <c r="F13" s="79"/>
      <c r="G13" s="80"/>
      <c r="H13" s="80"/>
      <c r="I13" s="81" t="s">
        <v>39</v>
      </c>
      <c r="J13" s="82">
        <f>AVERAGE(K14:K19)/3*100</f>
        <v>0</v>
      </c>
      <c r="K13" s="83"/>
      <c r="L13" t="str">
        <f>IF(J13&lt;10, "No Experience", "SAL2")</f>
        <v>No Experience</v>
      </c>
    </row>
    <row r="14" ht="55" customHeight="1" spans="2:11" x14ac:dyDescent="0.25">
      <c r="B14" s="84" t="s">
        <v>4</v>
      </c>
      <c r="C14" s="85" t="s">
        <v>40</v>
      </c>
      <c r="D14" s="86"/>
      <c r="E14" s="87"/>
      <c r="F14" s="88" t="s">
        <v>41</v>
      </c>
      <c r="G14" s="89"/>
      <c r="H14" s="90"/>
      <c r="I14" s="90"/>
      <c r="J14" s="91"/>
      <c r="K14">
        <f>VLOOKUP(F14,Data!$D$3:$G$7,4,FALSE)</f>
        <v>0</v>
      </c>
    </row>
    <row r="15" ht="36" customHeight="1" spans="2:11" x14ac:dyDescent="0.25">
      <c r="B15" s="92"/>
      <c r="C15" s="85" t="s">
        <v>42</v>
      </c>
      <c r="D15" s="86"/>
      <c r="E15" s="87"/>
      <c r="F15" s="88" t="s">
        <v>41</v>
      </c>
      <c r="G15" s="93"/>
      <c r="H15" s="94"/>
      <c r="I15" s="94"/>
      <c r="J15" s="95"/>
      <c r="K15">
        <f>VLOOKUP(F15,Data!$D$3:$G$7,4,FALSE)</f>
        <v>0</v>
      </c>
    </row>
    <row r="16" ht="37" customHeight="1" spans="2:11" x14ac:dyDescent="0.25">
      <c r="B16" s="92"/>
      <c r="C16" s="85" t="s">
        <v>43</v>
      </c>
      <c r="D16" s="86"/>
      <c r="E16" s="87"/>
      <c r="F16" s="88" t="s">
        <v>41</v>
      </c>
      <c r="G16" s="93"/>
      <c r="H16" s="94"/>
      <c r="I16" s="94"/>
      <c r="J16" s="95"/>
      <c r="K16">
        <f>VLOOKUP(F16,Data!$D$3:$G$7,4,FALSE)</f>
        <v>0</v>
      </c>
    </row>
    <row r="17" ht="51" customHeight="1" spans="2:11" x14ac:dyDescent="0.25">
      <c r="B17" s="92"/>
      <c r="C17" s="96" t="s">
        <v>44</v>
      </c>
      <c r="D17" s="97"/>
      <c r="E17" s="98"/>
      <c r="F17" s="88" t="s">
        <v>41</v>
      </c>
      <c r="G17" s="93"/>
      <c r="H17" s="94"/>
      <c r="I17" s="94"/>
      <c r="J17" s="95"/>
      <c r="K17">
        <f>VLOOKUP(F17,Data!$D$3:$G$7,4,FALSE)</f>
        <v>0</v>
      </c>
    </row>
    <row r="18" ht="40" customHeight="1" spans="2:11" x14ac:dyDescent="0.25">
      <c r="B18" s="92"/>
      <c r="C18" s="85" t="s">
        <v>45</v>
      </c>
      <c r="D18" s="86"/>
      <c r="E18" s="87"/>
      <c r="F18" s="88" t="s">
        <v>41</v>
      </c>
      <c r="G18" s="99"/>
      <c r="H18" s="100"/>
      <c r="I18" s="100"/>
      <c r="J18" s="101"/>
      <c r="K18">
        <f>VLOOKUP(F18,Data!$D$3:$G$7,4,FALSE)</f>
        <v>0</v>
      </c>
    </row>
    <row r="19" ht="86" customHeight="1" spans="2:11" x14ac:dyDescent="0.25">
      <c r="B19" s="102" t="s">
        <v>46</v>
      </c>
      <c r="C19" s="103" t="s">
        <v>47</v>
      </c>
      <c r="D19" s="104"/>
      <c r="E19" s="105"/>
      <c r="F19" s="88" t="s">
        <v>41</v>
      </c>
      <c r="G19" s="106"/>
      <c r="H19" s="107"/>
      <c r="I19" s="107"/>
      <c r="J19" s="108"/>
      <c r="K19">
        <f>VLOOKUP(F19,Data!$D$3:$G$7,4,FALSE)</f>
        <v>0</v>
      </c>
    </row>
    <row r="20" ht="40" customHeight="1" spans="2:14" x14ac:dyDescent="0.25">
      <c r="B20" s="78" t="s">
        <v>48</v>
      </c>
      <c r="C20" s="109"/>
      <c r="D20" s="109"/>
      <c r="E20" s="109"/>
      <c r="F20" s="110"/>
      <c r="G20" s="111"/>
      <c r="H20" s="111"/>
      <c r="I20" s="112" t="s">
        <v>39</v>
      </c>
      <c r="J20" s="113">
        <f>AVERAGE(K21:K26)/3*100</f>
        <v>0</v>
      </c>
      <c r="K20" s="83"/>
      <c r="L20" s="83" t="str">
        <f>IF(J20&lt;30,"Rejected",IF(J20&lt;40,"AL1",IF(J20&lt;60,"AL2",IF(J20&lt;70,"SAL1","SAL2"))))</f>
        <v>Rejected</v>
      </c>
      <c r="M20" s="83"/>
      <c r="N20" s="83"/>
    </row>
    <row r="21" ht="18" customHeight="1" spans="2:11" x14ac:dyDescent="0.25">
      <c r="B21" s="114" t="s">
        <v>49</v>
      </c>
      <c r="C21" s="96" t="s">
        <v>50</v>
      </c>
      <c r="D21" s="97"/>
      <c r="E21" s="98"/>
      <c r="F21" s="88" t="s">
        <v>41</v>
      </c>
      <c r="G21" s="89"/>
      <c r="H21" s="90"/>
      <c r="I21" s="90"/>
      <c r="J21" s="91"/>
      <c r="K21">
        <f>VLOOKUP(F21,Data!$F$3:$G$7,2,FALSE)</f>
        <v>0</v>
      </c>
    </row>
    <row r="22" ht="41" customHeight="1" spans="2:11" x14ac:dyDescent="0.25">
      <c r="B22" s="115"/>
      <c r="C22" s="96" t="s">
        <v>51</v>
      </c>
      <c r="D22" s="97"/>
      <c r="E22" s="98"/>
      <c r="F22" s="88" t="s">
        <v>41</v>
      </c>
      <c r="G22" s="93"/>
      <c r="H22" s="94"/>
      <c r="I22" s="94"/>
      <c r="J22" s="95"/>
      <c r="K22">
        <f>VLOOKUP(F22,Data!$F$3:$G$7,2,FALSE)</f>
        <v>0</v>
      </c>
    </row>
    <row r="23" ht="38" customHeight="1" spans="2:11" x14ac:dyDescent="0.25">
      <c r="B23" s="116"/>
      <c r="C23" s="96" t="s">
        <v>52</v>
      </c>
      <c r="D23" s="97"/>
      <c r="E23" s="98"/>
      <c r="F23" s="88" t="s">
        <v>41</v>
      </c>
      <c r="G23" s="99"/>
      <c r="H23" s="100"/>
      <c r="I23" s="100"/>
      <c r="J23" s="101"/>
      <c r="K23">
        <f>VLOOKUP(F23,Data!$F$3:$G$7,2,FALSE)</f>
        <v>0</v>
      </c>
    </row>
    <row r="24" ht="39" customHeight="1" spans="2:11" x14ac:dyDescent="0.25">
      <c r="B24" s="117" t="s">
        <v>53</v>
      </c>
      <c r="C24" s="118" t="s">
        <v>54</v>
      </c>
      <c r="D24" s="119"/>
      <c r="E24" s="120"/>
      <c r="F24" s="121" t="s">
        <v>41</v>
      </c>
      <c r="G24" s="90"/>
      <c r="H24" s="90"/>
      <c r="I24" s="90"/>
      <c r="J24" s="91"/>
      <c r="K24">
        <f>VLOOKUP(F24,Data!$F$3:$G$7,2,FALSE)</f>
        <v>0</v>
      </c>
    </row>
    <row r="25" ht="55" customHeight="1" spans="2:11" x14ac:dyDescent="0.25">
      <c r="B25" s="117"/>
      <c r="C25" s="118" t="s">
        <v>55</v>
      </c>
      <c r="D25" s="119"/>
      <c r="E25" s="120"/>
      <c r="F25" s="121" t="s">
        <v>41</v>
      </c>
      <c r="G25" s="94"/>
      <c r="H25" s="94"/>
      <c r="I25" s="94"/>
      <c r="J25" s="95"/>
      <c r="K25">
        <f>VLOOKUP(F25,Data!$F$3:$G$7,2,FALSE)</f>
        <v>0</v>
      </c>
    </row>
    <row r="26" ht="54" customHeight="1" spans="2:11" x14ac:dyDescent="0.25">
      <c r="B26" s="122"/>
      <c r="C26" s="118" t="s">
        <v>56</v>
      </c>
      <c r="D26" s="119"/>
      <c r="E26" s="120"/>
      <c r="F26" s="121" t="s">
        <v>41</v>
      </c>
      <c r="G26" s="100"/>
      <c r="H26" s="100"/>
      <c r="I26" s="100"/>
      <c r="J26" s="101"/>
      <c r="K26">
        <f>VLOOKUP(F26,Data!$F$3:$G$7,2,FALSE)</f>
        <v>0</v>
      </c>
    </row>
    <row r="27" ht="40" customHeight="1" spans="2:12" x14ac:dyDescent="0.25">
      <c r="B27" s="123" t="s">
        <v>57</v>
      </c>
      <c r="C27" s="124"/>
      <c r="D27" s="124"/>
      <c r="E27" s="124"/>
      <c r="F27" s="124"/>
      <c r="G27" s="125"/>
      <c r="H27" s="125"/>
      <c r="I27" s="126" t="s">
        <v>39</v>
      </c>
      <c r="J27" s="127">
        <f>(SUM(K28:K34)/(5*3))*100</f>
        <v>0</v>
      </c>
      <c r="K27" s="83"/>
      <c r="L27" s="83" t="str">
        <f>IF(J27&lt;40,"Rejected",IF(J27&lt;60,"Associate",IF(J27&lt;70,"SAL1",IF(K31&gt;=1,"SAL2","SAL1"))))</f>
        <v>Rejected</v>
      </c>
    </row>
    <row r="28" ht="89" customHeight="1" spans="2:11" x14ac:dyDescent="0.25">
      <c r="B28" s="114" t="s">
        <v>58</v>
      </c>
      <c r="C28" s="103" t="s">
        <v>59</v>
      </c>
      <c r="D28" s="104"/>
      <c r="E28" s="105"/>
      <c r="F28" s="121" t="s">
        <v>41</v>
      </c>
      <c r="G28" s="89"/>
      <c r="H28" s="90"/>
      <c r="I28" s="90"/>
      <c r="J28" s="91"/>
      <c r="K28">
        <f>VLOOKUP(F28,Data!$F$3:$G$7,2,FALSE)</f>
        <v>0</v>
      </c>
    </row>
    <row r="29" ht="102" customHeight="1" spans="2:11" x14ac:dyDescent="0.25">
      <c r="B29" s="115"/>
      <c r="C29" s="103" t="s">
        <v>60</v>
      </c>
      <c r="D29" s="104"/>
      <c r="E29" s="105"/>
      <c r="F29" s="121" t="s">
        <v>41</v>
      </c>
      <c r="G29" s="99"/>
      <c r="H29" s="100"/>
      <c r="I29" s="100"/>
      <c r="J29" s="101"/>
      <c r="K29">
        <f>VLOOKUP(F29,Data!$F$3:$G$7,2,FALSE)</f>
        <v>0</v>
      </c>
    </row>
    <row r="30" ht="134" customHeight="1" spans="2:11" x14ac:dyDescent="0.25">
      <c r="B30" s="115"/>
      <c r="C30" s="103" t="s">
        <v>61</v>
      </c>
      <c r="D30" s="104"/>
      <c r="E30" s="105"/>
      <c r="F30" s="88" t="s">
        <v>41</v>
      </c>
      <c r="G30" s="106"/>
      <c r="H30" s="107"/>
      <c r="I30" s="107"/>
      <c r="J30" s="108"/>
      <c r="K30">
        <f>VLOOKUP(F30,Data!$D$3:$G$7,4,FALSE)</f>
        <v>0</v>
      </c>
    </row>
    <row r="31" ht="109" customHeight="1" spans="2:11" x14ac:dyDescent="0.25">
      <c r="B31" s="116"/>
      <c r="C31" s="103" t="s">
        <v>62</v>
      </c>
      <c r="D31" s="104"/>
      <c r="E31" s="105"/>
      <c r="F31" s="88" t="s">
        <v>41</v>
      </c>
      <c r="G31" s="106"/>
      <c r="H31" s="107"/>
      <c r="I31" s="107"/>
      <c r="J31" s="108"/>
      <c r="K31">
        <f>VLOOKUP(F31,Data!$D$3:$G$7,4,FALSE)</f>
        <v>0</v>
      </c>
    </row>
    <row r="32" ht="70" customHeight="1" spans="2:11" x14ac:dyDescent="0.25">
      <c r="B32" s="114" t="s">
        <v>63</v>
      </c>
      <c r="C32" s="104" t="s">
        <v>64</v>
      </c>
      <c r="D32" s="104"/>
      <c r="E32" s="105"/>
      <c r="F32" s="121" t="s">
        <v>41</v>
      </c>
      <c r="G32" s="106"/>
      <c r="H32" s="107"/>
      <c r="I32" s="107"/>
      <c r="J32" s="108"/>
      <c r="K32">
        <f>VLOOKUP(F32,Data!$F$3:$G$7,2,FALSE)/3</f>
        <v>0</v>
      </c>
    </row>
    <row r="33" ht="49" customHeight="1" spans="2:11" x14ac:dyDescent="0.25">
      <c r="B33" s="115"/>
      <c r="C33" s="104" t="s">
        <v>65</v>
      </c>
      <c r="D33" s="104"/>
      <c r="E33" s="105"/>
      <c r="F33" s="121" t="s">
        <v>41</v>
      </c>
      <c r="G33" s="106"/>
      <c r="H33" s="107"/>
      <c r="I33" s="107"/>
      <c r="J33" s="108"/>
      <c r="K33">
        <f>VLOOKUP(F33,Data!$F$3:$G$7,2,FALSE)/3</f>
        <v>0</v>
      </c>
    </row>
    <row r="34" ht="65" customHeight="1" spans="2:11" x14ac:dyDescent="0.25">
      <c r="B34" s="116"/>
      <c r="C34" s="104" t="s">
        <v>66</v>
      </c>
      <c r="D34" s="104"/>
      <c r="E34" s="105"/>
      <c r="F34" s="88" t="s">
        <v>41</v>
      </c>
      <c r="G34" s="106"/>
      <c r="H34" s="107"/>
      <c r="I34" s="107"/>
      <c r="J34" s="108"/>
      <c r="K34">
        <f>VLOOKUP(F34,Data!$D$3:$G$7,4,FALSE)/3</f>
        <v>0</v>
      </c>
    </row>
    <row r="35" ht="40" customHeight="1" spans="2:12" x14ac:dyDescent="0.25">
      <c r="B35" s="128" t="s">
        <v>67</v>
      </c>
      <c r="C35" s="124"/>
      <c r="D35" s="124"/>
      <c r="E35" s="124"/>
      <c r="F35" s="124"/>
      <c r="G35" s="125"/>
      <c r="H35" s="125"/>
      <c r="I35" s="126" t="s">
        <v>39</v>
      </c>
      <c r="J35" s="127">
        <f>AVERAGE(K36:K37)/3*100</f>
        <v>0</v>
      </c>
      <c r="K35" s="83"/>
      <c r="L35" s="83" t="str">
        <f>IF(J35&lt;30,"-","SAL2")</f>
        <v>-</v>
      </c>
    </row>
    <row r="36" ht="37" customHeight="1" spans="2:14" x14ac:dyDescent="0.25">
      <c r="B36" s="102" t="s">
        <v>68</v>
      </c>
      <c r="C36" s="103" t="s">
        <v>69</v>
      </c>
      <c r="D36" s="104"/>
      <c r="E36" s="105"/>
      <c r="F36" s="88" t="s">
        <v>41</v>
      </c>
      <c r="G36" s="89"/>
      <c r="H36" s="90"/>
      <c r="I36" s="90"/>
      <c r="J36" s="91"/>
      <c r="K36">
        <f>VLOOKUP(F36,Data!$D$3:$G$7,4,FALSE)</f>
        <v>0</v>
      </c>
      <c r="N36" s="83"/>
    </row>
    <row r="37" ht="86" customHeight="1" spans="2:11" x14ac:dyDescent="0.25">
      <c r="B37" s="102" t="s">
        <v>70</v>
      </c>
      <c r="C37" s="103" t="s">
        <v>71</v>
      </c>
      <c r="D37" s="104"/>
      <c r="E37" s="105"/>
      <c r="F37" s="88" t="s">
        <v>41</v>
      </c>
      <c r="G37" s="99"/>
      <c r="H37" s="100"/>
      <c r="I37" s="100"/>
      <c r="J37" s="101"/>
      <c r="K37">
        <f>VLOOKUP(F37,Data!$D$3:$G$7,4,FALSE)</f>
        <v>0</v>
      </c>
    </row>
    <row r="38" ht="40" customHeight="1" spans="2:12" x14ac:dyDescent="0.25">
      <c r="B38" s="123" t="s">
        <v>72</v>
      </c>
      <c r="C38" s="124"/>
      <c r="D38" s="124"/>
      <c r="E38" s="124"/>
      <c r="F38" s="124"/>
      <c r="G38" s="125"/>
      <c r="H38" s="125"/>
      <c r="I38" s="126" t="s">
        <v>39</v>
      </c>
      <c r="J38" s="127">
        <f>AVERAGE(K39:K41)/3*100</f>
        <v>0</v>
      </c>
      <c r="K38" s="83"/>
      <c r="L38" s="83" t="str">
        <f>IF(J38&lt;10,"No Experience",IF(J38&lt;20,"Associate","SAL2"))</f>
        <v>No Experience</v>
      </c>
    </row>
    <row r="39" ht="155" customHeight="1" spans="2:11" x14ac:dyDescent="0.25">
      <c r="B39" s="102" t="s">
        <v>73</v>
      </c>
      <c r="C39" s="129" t="s">
        <v>74</v>
      </c>
      <c r="D39" s="130"/>
      <c r="E39" s="131"/>
      <c r="F39" s="88" t="s">
        <v>41</v>
      </c>
      <c r="G39" s="106"/>
      <c r="H39" s="107"/>
      <c r="I39" s="107"/>
      <c r="J39" s="108"/>
      <c r="K39">
        <f>VLOOKUP(F39,Data!$D$3:$G$7,4,FALSE)</f>
        <v>0</v>
      </c>
    </row>
    <row r="40" ht="54" customHeight="1" spans="2:11" x14ac:dyDescent="0.25">
      <c r="B40" s="102" t="s">
        <v>75</v>
      </c>
      <c r="C40" s="129" t="s">
        <v>76</v>
      </c>
      <c r="D40" s="130"/>
      <c r="E40" s="131"/>
      <c r="F40" s="88" t="s">
        <v>41</v>
      </c>
      <c r="G40" s="106"/>
      <c r="H40" s="107"/>
      <c r="I40" s="107"/>
      <c r="J40" s="108"/>
      <c r="K40">
        <f>VLOOKUP(F40,Data!$D$3:$G$7,4,FALSE)</f>
        <v>0</v>
      </c>
    </row>
    <row r="41" ht="103" customHeight="1" spans="2:11" x14ac:dyDescent="0.25">
      <c r="B41" s="102" t="s">
        <v>77</v>
      </c>
      <c r="C41" s="132" t="s">
        <v>78</v>
      </c>
      <c r="D41" s="130"/>
      <c r="E41" s="131"/>
      <c r="F41" s="88" t="s">
        <v>41</v>
      </c>
      <c r="G41" s="106"/>
      <c r="H41" s="107"/>
      <c r="I41" s="107"/>
      <c r="J41" s="108"/>
      <c r="K41">
        <f>VLOOKUP(F41,Data!$D$3:$G$7,4,FALSE)</f>
        <v>0</v>
      </c>
    </row>
    <row r="42" ht="40" customHeight="1" spans="2:10" x14ac:dyDescent="0.25">
      <c r="B42" s="123" t="s">
        <v>79</v>
      </c>
      <c r="C42" s="124"/>
      <c r="D42" s="124"/>
      <c r="E42" s="124"/>
      <c r="F42" s="124"/>
      <c r="G42" s="124"/>
      <c r="H42" s="124"/>
      <c r="I42" s="124"/>
      <c r="J42" s="133"/>
    </row>
    <row r="43" ht="57" customHeight="1" spans="2:10" x14ac:dyDescent="0.25">
      <c r="B43" s="134" t="s">
        <v>80</v>
      </c>
      <c r="C43" s="129" t="s">
        <v>81</v>
      </c>
      <c r="D43" s="131"/>
      <c r="E43" s="135" t="s">
        <v>82</v>
      </c>
      <c r="F43" s="136" t="s">
        <v>83</v>
      </c>
      <c r="G43" s="106"/>
      <c r="H43" s="107"/>
      <c r="I43" s="107"/>
      <c r="J43" s="108"/>
    </row>
    <row r="44" ht="22" customHeight="1" spans="2:10" x14ac:dyDescent="0.25">
      <c r="B44" s="137" t="s">
        <v>84</v>
      </c>
      <c r="C44" s="138"/>
      <c r="D44" s="138"/>
      <c r="E44" s="138"/>
      <c r="F44" s="139"/>
      <c r="G44" s="106"/>
      <c r="H44" s="107"/>
      <c r="I44" s="107"/>
      <c r="J44" s="108"/>
    </row>
  </sheetData>
  <mergeCells count="68">
    <mergeCell ref="B2:J3"/>
    <mergeCell ref="I4:J4"/>
    <mergeCell ref="D4:D8"/>
    <mergeCell ref="G4:G8"/>
    <mergeCell ref="I5:J5"/>
    <mergeCell ref="I6:J6"/>
    <mergeCell ref="I7:J8"/>
    <mergeCell ref="H7:H8"/>
    <mergeCell ref="B9:C9"/>
    <mergeCell ref="D9:J9"/>
    <mergeCell ref="B10:C10"/>
    <mergeCell ref="D10:J10"/>
    <mergeCell ref="D11:J11"/>
    <mergeCell ref="C12:E12"/>
    <mergeCell ref="G12:J12"/>
    <mergeCell ref="B13:F13"/>
    <mergeCell ref="C14:E14"/>
    <mergeCell ref="G14:J18"/>
    <mergeCell ref="B14:B18"/>
    <mergeCell ref="C15:E15"/>
    <mergeCell ref="C16:E16"/>
    <mergeCell ref="C17:E17"/>
    <mergeCell ref="C18:E18"/>
    <mergeCell ref="C19:E19"/>
    <mergeCell ref="G19:J19"/>
    <mergeCell ref="B20:F20"/>
    <mergeCell ref="C21:E21"/>
    <mergeCell ref="G21:J23"/>
    <mergeCell ref="B21:B23"/>
    <mergeCell ref="C22:E22"/>
    <mergeCell ref="C23:E23"/>
    <mergeCell ref="C24:E24"/>
    <mergeCell ref="G24:J26"/>
    <mergeCell ref="B24:B26"/>
    <mergeCell ref="C25:E25"/>
    <mergeCell ref="C26:E26"/>
    <mergeCell ref="B27:F27"/>
    <mergeCell ref="C28:E28"/>
    <mergeCell ref="G28:J29"/>
    <mergeCell ref="B28:B31"/>
    <mergeCell ref="C29:E29"/>
    <mergeCell ref="C30:E30"/>
    <mergeCell ref="G30:J30"/>
    <mergeCell ref="C31:E31"/>
    <mergeCell ref="G31:J31"/>
    <mergeCell ref="C32:E32"/>
    <mergeCell ref="G32:J32"/>
    <mergeCell ref="B32:B34"/>
    <mergeCell ref="C33:E33"/>
    <mergeCell ref="G33:J33"/>
    <mergeCell ref="C34:E34"/>
    <mergeCell ref="G34:J34"/>
    <mergeCell ref="B35:F35"/>
    <mergeCell ref="C36:E36"/>
    <mergeCell ref="G36:J37"/>
    <mergeCell ref="C37:E37"/>
    <mergeCell ref="B38:F38"/>
    <mergeCell ref="C39:E39"/>
    <mergeCell ref="G39:J39"/>
    <mergeCell ref="C40:E40"/>
    <mergeCell ref="G40:J40"/>
    <mergeCell ref="C41:E41"/>
    <mergeCell ref="G41:J41"/>
    <mergeCell ref="B42:J42"/>
    <mergeCell ref="C43:D43"/>
    <mergeCell ref="G43:J43"/>
    <mergeCell ref="B44:F44"/>
    <mergeCell ref="G44:J44"/>
  </mergeCells>
  <conditionalFormatting sqref="F7">
    <cfRule type="cellIs" dxfId="0" priority="1" operator="equal">
      <formula>"REJECTED"</formula>
    </cfRule>
    <cfRule type="cellIs" dxfId="1" priority="2" operator="equal">
      <formula>"REJECTED"</formula>
    </cfRule>
  </conditionalFormatting>
  <dataValidations count="15">
    <dataValidation type="list" allowBlank="1" showInputMessage="1" showErrorMessage="1" sqref="C11">
      <formula1>Core_Exercise</formula1>
    </dataValidation>
    <dataValidation type="list" allowBlank="1" showInputMessage="1" showErrorMessage="1" sqref="C7">
      <formula1>Career_Stage</formula1>
    </dataValidation>
    <dataValidation type="list" allowBlank="1" showInputMessage="1" showErrorMessage="1" sqref="F14:F19">
      <formula1>Scoring_Architecture</formula1>
    </dataValidation>
    <dataValidation type="list" allowBlank="1" showInputMessage="1" showErrorMessage="1" sqref="F21:F26">
      <formula1>Scoring_Development</formula1>
    </dataValidation>
    <dataValidation type="list" allowBlank="1" showInputMessage="1" showErrorMessage="1" sqref="F28:F29">
      <formula1>Scoring_Development</formula1>
    </dataValidation>
    <dataValidation type="list" allowBlank="1" showInputMessage="1" showErrorMessage="1" sqref="F30:F31">
      <formula1>Scoring_Architecture</formula1>
    </dataValidation>
    <dataValidation type="list" allowBlank="1" showInputMessage="1" showErrorMessage="1" sqref="F32:F33">
      <formula1>Scoring_Development</formula1>
    </dataValidation>
    <dataValidation type="list" allowBlank="1" showInputMessage="1" showErrorMessage="1" sqref="F34">
      <formula1>Scoring_Architecture</formula1>
    </dataValidation>
    <dataValidation type="list" allowBlank="1" showInputMessage="1" showErrorMessage="1" sqref="F36:F37">
      <formula1>Scoring_Architecture</formula1>
    </dataValidation>
    <dataValidation type="list" allowBlank="1" showInputMessage="1" showErrorMessage="1" sqref="F39:F41">
      <formula1>Scoring_Architecture</formula1>
    </dataValidation>
    <dataValidation type="list" allowBlank="1" showInputMessage="1" showErrorMessage="1" sqref="G44:J44">
      <formula1>Will_You_Take_Person</formula1>
    </dataValidation>
    <dataValidation type="list" allowBlank="1" showInputMessage="1" showErrorMessage="1" sqref="I4:J4">
      <formula1>Interview_Outcome</formula1>
    </dataValidation>
    <dataValidation type="list" allowBlank="1" showInputMessage="1" showErrorMessage="1" sqref="I5:J5">
      <formula1>Career_Stage</formula1>
    </dataValidation>
    <dataValidation type="list" allowBlank="1" showInputMessage="1" showErrorMessage="1" sqref="I6:J6">
      <formula1>Rejection_Reason</formula1>
    </dataValidation>
    <dataValidation type="list" allowBlank="1" showInputMessage="1" showErrorMessage="1" sqref="I7:J8">
      <formula1>Core_XT_Training_Sections</formula1>
    </dataValidation>
  </dataValidations>
  <pageMargins left="0.7" right="0.7" top="0.75" bottom="0.75" header="0.3" footer="0.3"/>
  <pageSetup paperSize="9" orientation="portrait" horizontalDpi="0" verticalDpi="0"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J7"/>
  <sheetViews>
    <sheetView workbookViewId="0" zoomScale="150" zoomScaleNormal="150">
      <selection activeCell="F3" sqref="F3"/>
    </sheetView>
  </sheetViews>
  <sheetFormatPr defaultRowHeight="16" outlineLevelRow="0" outlineLevelCol="0" x14ac:dyDescent="0.2" defaultColWidth="11" customHeight="1"/>
  <cols>
    <col min="2" max="2" width="28.5" customWidth="1"/>
    <col min="3" max="3" width="19.1640625" customWidth="1"/>
    <col min="4" max="4" width="37.83203125" customWidth="1"/>
    <col min="5" max="5" width="26.33203125" customWidth="1"/>
    <col min="6" max="6" width="31.83203125" customWidth="1"/>
    <col min="8" max="8" width="22.1640625" customWidth="1"/>
    <col min="10" max="10" width="20.5" customWidth="1"/>
  </cols>
  <sheetData>
    <row r="2" spans="2:10" x14ac:dyDescent="0.25">
      <c r="B2" s="167" t="s">
        <v>18</v>
      </c>
      <c r="C2" s="167" t="s">
        <v>137</v>
      </c>
      <c r="D2" s="167" t="s">
        <v>138</v>
      </c>
      <c r="E2" s="167" t="s">
        <v>139</v>
      </c>
      <c r="F2" s="167" t="s">
        <v>140</v>
      </c>
      <c r="G2" s="167" t="s">
        <v>141</v>
      </c>
      <c r="H2" s="167" t="s">
        <v>142</v>
      </c>
      <c r="I2" s="167" t="s">
        <v>143</v>
      </c>
      <c r="J2" s="167" t="s">
        <v>144</v>
      </c>
    </row>
    <row r="3" spans="2:10" x14ac:dyDescent="0.25">
      <c r="B3" t="s">
        <v>145</v>
      </c>
      <c r="C3" t="s">
        <v>146</v>
      </c>
      <c r="D3" t="s">
        <v>41</v>
      </c>
      <c r="E3" s="168" t="s">
        <v>95</v>
      </c>
      <c r="F3" t="s">
        <v>41</v>
      </c>
      <c r="G3">
        <v>0</v>
      </c>
      <c r="H3" t="s">
        <v>5</v>
      </c>
      <c r="I3" t="s">
        <v>147</v>
      </c>
      <c r="J3" t="s">
        <v>92</v>
      </c>
    </row>
    <row r="4" spans="2:9" x14ac:dyDescent="0.25">
      <c r="B4" t="s">
        <v>148</v>
      </c>
      <c r="C4" t="s">
        <v>87</v>
      </c>
      <c r="D4" t="s">
        <v>112</v>
      </c>
      <c r="E4" t="s">
        <v>149</v>
      </c>
      <c r="F4" t="s">
        <v>112</v>
      </c>
      <c r="G4">
        <v>0</v>
      </c>
      <c r="H4" t="s">
        <v>8</v>
      </c>
      <c r="I4" t="s">
        <v>150</v>
      </c>
    </row>
    <row r="5" spans="2:8" x14ac:dyDescent="0.25">
      <c r="B5" t="s">
        <v>96</v>
      </c>
      <c r="C5" t="s">
        <v>151</v>
      </c>
      <c r="D5" t="s">
        <v>152</v>
      </c>
      <c r="E5" t="s">
        <v>153</v>
      </c>
      <c r="F5" t="s">
        <v>104</v>
      </c>
      <c r="G5">
        <v>1</v>
      </c>
      <c r="H5" t="s">
        <v>154</v>
      </c>
    </row>
    <row r="6" spans="2:7" x14ac:dyDescent="0.25">
      <c r="B6" t="s">
        <v>155</v>
      </c>
      <c r="D6" t="s">
        <v>156</v>
      </c>
      <c r="F6" t="s">
        <v>157</v>
      </c>
      <c r="G6">
        <v>2</v>
      </c>
    </row>
    <row r="7" spans="2:7" x14ac:dyDescent="0.25">
      <c r="B7" t="s">
        <v>158</v>
      </c>
      <c r="D7" t="s">
        <v>159</v>
      </c>
      <c r="F7" t="s">
        <v>160</v>
      </c>
      <c r="G7">
        <v>3</v>
      </c>
    </row>
  </sheetData>
  <pageMargins left="0.7" right="0.7" top="0.75" bottom="0.75" header="0.3" footer="0.3"/>
  <pageSetup paperSize="9" orientation="portrait" horizontalDpi="0" verticalDpi="0"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FormatPr defaultRowHeight="15" outlineLevelRow="0" outlineLevelCol="0" x14ac:dyDescent="55"/>
  <sheetData>
    <row r="1" spans="1:2" x14ac:dyDescent="0.25">
      <c r="A1" t="s">
        <v>181</v>
      </c>
      <c r="B1" t="s">
        <v>182</v>
      </c>
    </row>
    <row r="2" spans="1:2" x14ac:dyDescent="0.25">
      <c r="A2" t="s">
        <v>183</v>
      </c>
      <c r="B2" t="s">
        <v>184</v>
      </c>
    </row>
    <row r="3" spans="1:2" x14ac:dyDescent="0.25">
      <c r="A3" t="s">
        <v>185</v>
      </c>
      <c r="B3" t="s">
        <v>186</v>
      </c>
    </row>
    <row r="4" spans="1:2" x14ac:dyDescent="0.25">
      <c r="A4" t="s">
        <v>187</v>
      </c>
      <c r="B4" t="s">
        <v>188</v>
      </c>
    </row>
    <row r="5" spans="1:2" x14ac:dyDescent="0.25">
      <c r="A5" t="s">
        <v>189</v>
      </c>
      <c r="B5" t="s">
        <v>190</v>
      </c>
    </row>
    <row r="6" spans="1:2" x14ac:dyDescent="0.25">
      <c r="A6" t="s">
        <v>191</v>
      </c>
      <c r="B6" t="s">
        <v>192</v>
      </c>
    </row>
    <row r="7" spans="1:2" x14ac:dyDescent="0.25">
      <c r="A7" t="s">
        <v>193</v>
      </c>
      <c r="B7" t="s">
        <v>194</v>
      </c>
    </row>
    <row r="8" spans="1:2" x14ac:dyDescent="0.25">
      <c r="A8" t="s">
        <v>195</v>
      </c>
      <c r="B8" t="s">
        <v>196</v>
      </c>
    </row>
    <row r="9" spans="1:2" x14ac:dyDescent="0.25">
      <c r="A9" t="s">
        <v>197</v>
      </c>
      <c r="B9" t="s">
        <v>198</v>
      </c>
    </row>
    <row r="10" spans="1:2" x14ac:dyDescent="0.25">
      <c r="A10" t="s">
        <v>199</v>
      </c>
      <c r="B10" t="s">
        <v>200</v>
      </c>
    </row>
    <row r="11" spans="1:2" x14ac:dyDescent="0.25">
      <c r="A11" t="s">
        <v>201</v>
      </c>
      <c r="B11" t="s">
        <v>202</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W46"/>
  <sheetViews>
    <sheetView workbookViewId="0" zoomScale="100" zoomScaleNormal="100">
      <selection activeCell="D10" sqref="D10"/>
    </sheetView>
  </sheetViews>
  <sheetFormatPr defaultRowHeight="22" outlineLevelRow="0" outlineLevelCol="0" x14ac:dyDescent="0.2" defaultColWidth="11" customHeight="1"/>
  <cols>
    <col min="1" max="1" width="2" customWidth="1"/>
    <col min="2" max="2" width="21" customWidth="1"/>
    <col min="3" max="3" width="20.33203125" customWidth="1"/>
    <col min="4" max="4" width="2.83203125" customWidth="1"/>
    <col min="5" max="5" width="39.1640625" customWidth="1"/>
    <col min="6" max="6" width="24.1640625" customWidth="1"/>
    <col min="7" max="7" width="2.1640625" customWidth="1"/>
    <col min="8" max="8" width="24" customWidth="1"/>
    <col min="11" max="12" width="10.83203125" hidden="1" customWidth="1"/>
    <col min="13" max="13" width="11.5" hidden="1" customWidth="1"/>
    <col min="14" max="14" width="13.1640625" hidden="1" customWidth="1"/>
    <col min="15" max="21" width="10.83203125" hidden="1" customWidth="1"/>
    <col min="22" max="22" width="11.6640625" hidden="1" customWidth="1"/>
    <col min="23" max="23" width="14.1640625" hidden="1" customWidth="1"/>
  </cols>
  <sheetData>
    <row r="1" ht="11" customHeight="1" x14ac:dyDescent="0.25"/>
    <row r="2" ht="22" customHeight="1" spans="2:10" x14ac:dyDescent="0.25">
      <c r="B2" s="1" t="s">
        <v>0</v>
      </c>
      <c r="C2" s="2"/>
      <c r="D2" s="2"/>
      <c r="E2" s="2"/>
      <c r="F2" s="2"/>
      <c r="G2" s="2"/>
      <c r="H2" s="2"/>
      <c r="I2" s="2"/>
      <c r="J2" s="3"/>
    </row>
    <row r="3" ht="22" customHeight="1" spans="2:10" x14ac:dyDescent="0.25">
      <c r="B3" s="4"/>
      <c r="C3" s="5"/>
      <c r="D3" s="5"/>
      <c r="E3" s="5"/>
      <c r="F3" s="5"/>
      <c r="G3" s="5"/>
      <c r="H3" s="5"/>
      <c r="I3" s="5"/>
      <c r="J3" s="6"/>
    </row>
    <row r="4" ht="22" customHeight="1" spans="2:23" x14ac:dyDescent="0.25">
      <c r="B4" s="7" t="s">
        <v>1</v>
      </c>
      <c r="C4" s="8" t="s">
        <v>85</v>
      </c>
      <c r="D4" s="140"/>
      <c r="E4" s="10" t="s">
        <v>2</v>
      </c>
      <c r="F4" s="11" t="s">
        <v>86</v>
      </c>
      <c r="G4" s="141"/>
      <c r="H4" s="13" t="s">
        <v>3</v>
      </c>
      <c r="I4" s="8" t="s">
        <v>87</v>
      </c>
      <c r="J4" s="14"/>
      <c r="M4" s="15" t="s">
        <v>88</v>
      </c>
      <c r="N4" s="16" t="s">
        <v>89</v>
      </c>
      <c r="O4" s="16" t="s">
        <v>90</v>
      </c>
      <c r="P4" s="16" t="s">
        <v>91</v>
      </c>
      <c r="Q4" s="21" t="s">
        <v>13</v>
      </c>
      <c r="R4" s="21" t="s">
        <v>14</v>
      </c>
      <c r="S4" s="21" t="s">
        <v>15</v>
      </c>
      <c r="T4" s="21" t="s">
        <v>16</v>
      </c>
      <c r="U4" s="21" t="s">
        <v>17</v>
      </c>
      <c r="V4" s="22" t="s">
        <v>18</v>
      </c>
      <c r="W4" s="24" t="s">
        <v>92</v>
      </c>
    </row>
    <row r="5" ht="22" customHeight="1" spans="2:23" x14ac:dyDescent="0.25">
      <c r="B5" s="25" t="s">
        <v>19</v>
      </c>
      <c r="C5" s="26">
        <v>3</v>
      </c>
      <c r="D5" s="27"/>
      <c r="E5" s="28" t="s">
        <v>20</v>
      </c>
      <c r="F5" s="29" t="s">
        <v>93</v>
      </c>
      <c r="G5" s="30"/>
      <c r="H5" s="31" t="s">
        <v>21</v>
      </c>
      <c r="I5" s="32" t="s">
        <v>94</v>
      </c>
      <c r="J5" s="33"/>
      <c r="M5" s="142" t="str">
        <f>L13</f>
        <v>SAL1</v>
      </c>
      <c r="N5" s="34" t="str">
        <f>L21</f>
        <v>SAL2</v>
      </c>
      <c r="O5" s="34" t="str">
        <f>L30</f>
        <v>-</v>
      </c>
      <c r="P5" s="34" t="str">
        <f>L37</f>
        <v>-</v>
      </c>
      <c r="Q5" s="36" t="b">
        <f>OR(M5="Rejected",N5="Rejected")</f>
        <v>0</v>
      </c>
      <c r="R5" s="36" t="b">
        <f>AND(NOT(Q5),M5="SAL2",N5&lt;&gt;"Associate")</f>
        <v>0</v>
      </c>
      <c r="S5" s="36" t="b">
        <f>AND(NOT(Q5),NOT(R5),OR(M5="SAL1",M5="SAL2"),OR(N5&lt;&gt;"Associate",AND(N5="Associate",OR(O5&lt;&gt;"-",P5&lt;&gt;"-"))))</f>
        <v>1</v>
      </c>
      <c r="T5" s="36" t="b">
        <f>AND(NOT(Q5),NOT(R5),NOT(S5),M5="Associate",N5="Associate",O5="-", P5="-")</f>
        <v>0</v>
      </c>
      <c r="U5" s="36" t="b">
        <f>AND(NOT(Q5),NOT(R5),NOT(S2),NOT(T2))</f>
        <v>1</v>
      </c>
      <c r="V5" s="37" t="str">
        <f>IF(Q5,"REJECTED",IF(R5,"Lead Experience Engineer",IF(S5,"Senior Experience Engineer",IF(T5,"Experience Engineer L1",IF(U5,"Experience Engineer L2","Thinking")))))</f>
        <v>Senior Experience Engineer</v>
      </c>
      <c r="W5" s="39" t="b">
        <f>AND(V5="SAL1",F2="Associate")</f>
        <v>0</v>
      </c>
    </row>
    <row r="6" ht="22" customHeight="1" spans="2:10" x14ac:dyDescent="0.25">
      <c r="B6" s="25" t="s">
        <v>22</v>
      </c>
      <c r="C6" s="40">
        <v>3</v>
      </c>
      <c r="D6" s="27"/>
      <c r="E6" s="41" t="s">
        <v>23</v>
      </c>
      <c r="F6" s="29"/>
      <c r="G6" s="30"/>
      <c r="H6" s="42" t="s">
        <v>24</v>
      </c>
      <c r="I6" s="29" t="s">
        <v>95</v>
      </c>
      <c r="J6" s="43"/>
    </row>
    <row r="7" ht="22" customHeight="1" spans="2:10" x14ac:dyDescent="0.25">
      <c r="B7" s="25" t="s">
        <v>25</v>
      </c>
      <c r="C7" s="29" t="s">
        <v>96</v>
      </c>
      <c r="D7" s="27"/>
      <c r="E7" s="41" t="s">
        <v>26</v>
      </c>
      <c r="F7" s="143" t="str">
        <f>V5</f>
        <v>Senior Experience Engineer</v>
      </c>
      <c r="G7" s="30"/>
      <c r="H7" s="45" t="s">
        <v>27</v>
      </c>
      <c r="I7" s="46" t="s">
        <v>97</v>
      </c>
      <c r="J7" s="47"/>
    </row>
    <row r="8" ht="22" customHeight="1" spans="2:10" x14ac:dyDescent="0.25">
      <c r="B8" s="48" t="s">
        <v>28</v>
      </c>
      <c r="C8" s="49" t="s">
        <v>98</v>
      </c>
      <c r="D8" s="144"/>
      <c r="E8" s="51" t="s">
        <v>29</v>
      </c>
      <c r="F8" s="52" t="str">
        <f>IF(W5,"React Specialist", "No trainings required")</f>
        <v>No trainings required</v>
      </c>
      <c r="G8" s="145"/>
      <c r="H8" s="54"/>
      <c r="I8" s="55"/>
      <c r="J8" s="56"/>
    </row>
    <row r="9" ht="128" customHeight="1" spans="2:10" x14ac:dyDescent="0.25">
      <c r="B9" s="57" t="s">
        <v>30</v>
      </c>
      <c r="C9" s="58"/>
      <c r="D9" s="59" t="s">
        <v>99</v>
      </c>
      <c r="E9" s="59"/>
      <c r="F9" s="59"/>
      <c r="G9" s="59"/>
      <c r="H9" s="59"/>
      <c r="I9" s="59"/>
      <c r="J9" s="60"/>
    </row>
    <row r="10" ht="68" customHeight="1" spans="2:10" x14ac:dyDescent="0.25">
      <c r="B10" s="146" t="s">
        <v>100</v>
      </c>
      <c r="C10" s="147"/>
      <c r="D10" s="148"/>
      <c r="E10" s="148"/>
      <c r="F10" s="148"/>
      <c r="G10" s="148"/>
      <c r="H10" s="148"/>
      <c r="I10" s="148"/>
      <c r="J10" s="149"/>
    </row>
    <row r="11" ht="71" customHeight="1" spans="2:10" x14ac:dyDescent="0.25">
      <c r="B11" s="65" t="s">
        <v>32</v>
      </c>
      <c r="C11" s="66" t="s">
        <v>101</v>
      </c>
      <c r="D11" s="150" t="str">
        <f>IFERROR(VLOOKUP(C11,'React Exercise'!A1:B8,2,FALSE),"Choose the exercise from left side column")</f>
        <v>Create a React web application that consumes the https://fakestoreapi.com/carts/2 API and displays a list of products in the cart. For each product in the cart, the application should make an API call to fetch the product details using the ID returned in the cart API and display the product title, price, and image. Note: The https://fakestoreapi.com/products/:id: API returns details for a single product. You will need to make an API call for each product in the cart to fetch the product details.</v>
      </c>
      <c r="E11" s="150"/>
      <c r="F11" s="150"/>
      <c r="G11" s="150"/>
      <c r="H11" s="150"/>
      <c r="I11" s="150"/>
      <c r="J11" s="151"/>
    </row>
    <row r="12" ht="22" customHeight="1" spans="2:15" s="69" customFormat="1" x14ac:dyDescent="0.25">
      <c r="B12" s="152" t="s">
        <v>34</v>
      </c>
      <c r="C12" s="153" t="s">
        <v>35</v>
      </c>
      <c r="D12" s="154"/>
      <c r="E12" s="155"/>
      <c r="F12" s="156" t="s">
        <v>36</v>
      </c>
      <c r="G12" s="157" t="s">
        <v>37</v>
      </c>
      <c r="H12" s="158"/>
      <c r="I12" s="158"/>
      <c r="J12" s="159"/>
      <c r="N12" s="160"/>
      <c r="O12" s="160"/>
    </row>
    <row r="13" ht="40" customHeight="1" spans="2:13" x14ac:dyDescent="0.25">
      <c r="B13" s="78" t="s">
        <v>102</v>
      </c>
      <c r="C13" s="79"/>
      <c r="D13" s="79"/>
      <c r="E13" s="79"/>
      <c r="F13" s="79"/>
      <c r="G13" s="80"/>
      <c r="H13" s="80"/>
      <c r="I13" s="81" t="s">
        <v>39</v>
      </c>
      <c r="J13" s="82">
        <f>AVERAGE(K14:K20)/3*100</f>
        <v>76.19047619047619</v>
      </c>
      <c r="K13" s="83"/>
      <c r="L13" s="83" t="str">
        <f>IF(J13&lt;60, "Rejected",IF(J13&lt;70,"Associate",IF(J13&lt;80,"SAL1","SAL2")))</f>
        <v>SAL1</v>
      </c>
      <c r="M13" s="83"/>
    </row>
    <row r="14" ht="88" customHeight="1" spans="2:11" x14ac:dyDescent="0.25">
      <c r="B14" s="114" t="s">
        <v>88</v>
      </c>
      <c r="C14" s="85" t="s">
        <v>103</v>
      </c>
      <c r="D14" s="86"/>
      <c r="E14" s="87"/>
      <c r="F14" s="161" t="s">
        <v>104</v>
      </c>
      <c r="G14" s="89" t="s">
        <v>105</v>
      </c>
      <c r="H14" s="90"/>
      <c r="I14" s="90"/>
      <c r="J14" s="91"/>
      <c r="K14">
        <f>VLOOKUP(F14,Data!$F$3:$G$7,2,FALSE)</f>
        <v>3</v>
      </c>
    </row>
    <row r="15" ht="38" customHeight="1" spans="2:11" x14ac:dyDescent="0.25">
      <c r="B15" s="115"/>
      <c r="C15" s="85" t="s">
        <v>106</v>
      </c>
      <c r="D15" s="86"/>
      <c r="E15" s="87"/>
      <c r="F15" s="161" t="s">
        <v>41</v>
      </c>
      <c r="G15" s="93"/>
      <c r="H15" s="94"/>
      <c r="I15" s="94"/>
      <c r="J15" s="95"/>
      <c r="K15">
        <f>VLOOKUP(F15,Data!$F$3:$G$7,2,FALSE)</f>
        <v>3</v>
      </c>
    </row>
    <row r="16" ht="37" customHeight="1" spans="2:11" x14ac:dyDescent="0.25">
      <c r="B16" s="115"/>
      <c r="C16" s="85" t="s">
        <v>107</v>
      </c>
      <c r="D16" s="86"/>
      <c r="E16" s="87"/>
      <c r="F16" s="161" t="s">
        <v>104</v>
      </c>
      <c r="G16" s="93"/>
      <c r="H16" s="94"/>
      <c r="I16" s="94"/>
      <c r="J16" s="95"/>
      <c r="K16">
        <f>VLOOKUP(F16,Data!$F$3:$G$7,2,FALSE)</f>
        <v>3</v>
      </c>
    </row>
    <row r="17" ht="40" customHeight="1" spans="2:11" x14ac:dyDescent="0.25">
      <c r="B17" s="115"/>
      <c r="C17" s="85" t="s">
        <v>108</v>
      </c>
      <c r="D17" s="86"/>
      <c r="E17" s="87"/>
      <c r="F17" s="161" t="s">
        <v>104</v>
      </c>
      <c r="G17" s="93"/>
      <c r="H17" s="94"/>
      <c r="I17" s="94"/>
      <c r="J17" s="95"/>
      <c r="K17">
        <f>VLOOKUP(F17,Data!$F$3:$G$7,2,FALSE)</f>
        <v>3</v>
      </c>
    </row>
    <row r="18" ht="34" customHeight="1" spans="2:11" x14ac:dyDescent="0.25">
      <c r="B18" s="115"/>
      <c r="C18" s="96" t="s">
        <v>109</v>
      </c>
      <c r="D18" s="97"/>
      <c r="E18" s="98"/>
      <c r="F18" s="161" t="s">
        <v>104</v>
      </c>
      <c r="G18" s="93"/>
      <c r="H18" s="94"/>
      <c r="I18" s="94"/>
      <c r="J18" s="95"/>
      <c r="K18">
        <f>VLOOKUP(F18,Data!$F$3:$G$7,2,FALSE)</f>
        <v>3</v>
      </c>
    </row>
    <row r="19" ht="35" customHeight="1" spans="2:11" x14ac:dyDescent="0.25">
      <c r="B19" s="115"/>
      <c r="C19" s="96" t="s">
        <v>110</v>
      </c>
      <c r="D19" s="97"/>
      <c r="E19" s="98"/>
      <c r="F19" s="161" t="s">
        <v>41</v>
      </c>
      <c r="G19" s="93"/>
      <c r="H19" s="94"/>
      <c r="I19" s="94"/>
      <c r="J19" s="95"/>
      <c r="K19">
        <f>VLOOKUP(F19,Data!$F$3:$G$7,2,FALSE)</f>
        <v>1</v>
      </c>
    </row>
    <row r="20" ht="272" customHeight="1" spans="2:11" x14ac:dyDescent="0.25">
      <c r="B20" s="116"/>
      <c r="C20" s="96" t="s">
        <v>111</v>
      </c>
      <c r="D20" s="97"/>
      <c r="E20" s="98"/>
      <c r="F20" s="161" t="s">
        <v>112</v>
      </c>
      <c r="G20" s="99"/>
      <c r="H20" s="100"/>
      <c r="I20" s="100"/>
      <c r="J20" s="101"/>
      <c r="K20">
        <f>VLOOKUP(F20,Data!$F$3:$G$7,2,FALSE)</f>
        <v>0</v>
      </c>
    </row>
    <row r="21" ht="40" customHeight="1" spans="2:16" x14ac:dyDescent="0.25">
      <c r="B21" s="78" t="s">
        <v>113</v>
      </c>
      <c r="C21" s="79"/>
      <c r="D21" s="79"/>
      <c r="E21" s="79"/>
      <c r="F21" s="79"/>
      <c r="G21" s="80"/>
      <c r="H21" s="80"/>
      <c r="I21" s="81" t="s">
        <v>39</v>
      </c>
      <c r="J21" s="82">
        <f>AVERAGE(K22:K29)/3*100</f>
        <v>62.5</v>
      </c>
      <c r="K21" s="83"/>
      <c r="L21" s="83" t="str">
        <f>IF(J21&lt;25,"Rejected",IF(J21&lt;40, "Associate", IF(J21&lt;50,"SAL1","SAL2")))</f>
        <v>SAL2</v>
      </c>
      <c r="M21" s="83"/>
      <c r="N21" s="83"/>
      <c r="O21" s="83"/>
      <c r="P21" s="83"/>
    </row>
    <row r="22" ht="37" customHeight="1" spans="2:11" x14ac:dyDescent="0.25">
      <c r="B22" s="114" t="s">
        <v>114</v>
      </c>
      <c r="C22" s="118" t="s">
        <v>115</v>
      </c>
      <c r="D22" s="119"/>
      <c r="E22" s="120"/>
      <c r="F22" s="161" t="s">
        <v>41</v>
      </c>
      <c r="G22" s="89" t="s">
        <v>116</v>
      </c>
      <c r="H22" s="90"/>
      <c r="I22" s="90"/>
      <c r="J22" s="91"/>
      <c r="K22">
        <f>VLOOKUP(F22,Data!$F$3:$G$7,2,FALSE)</f>
        <v>1</v>
      </c>
    </row>
    <row r="23" ht="56" customHeight="1" spans="2:11" x14ac:dyDescent="0.25">
      <c r="B23" s="115"/>
      <c r="C23" s="118" t="s">
        <v>117</v>
      </c>
      <c r="D23" s="119"/>
      <c r="E23" s="120"/>
      <c r="F23" s="161" t="s">
        <v>41</v>
      </c>
      <c r="G23" s="93"/>
      <c r="H23" s="94"/>
      <c r="I23" s="94"/>
      <c r="J23" s="95"/>
      <c r="K23">
        <f>VLOOKUP(F23,Data!$F$3:$G$7,2,FALSE)</f>
        <v>1</v>
      </c>
    </row>
    <row r="24" ht="41" customHeight="1" spans="2:11" x14ac:dyDescent="0.25">
      <c r="B24" s="115"/>
      <c r="C24" s="118" t="s">
        <v>118</v>
      </c>
      <c r="D24" s="119"/>
      <c r="E24" s="120"/>
      <c r="F24" s="162" t="s">
        <v>41</v>
      </c>
      <c r="G24" s="93"/>
      <c r="H24" s="94"/>
      <c r="I24" s="94"/>
      <c r="J24" s="95"/>
      <c r="K24">
        <f>VLOOKUP(F24,Data!$F$3:$G$7,2,FALSE)</f>
        <v>3</v>
      </c>
    </row>
    <row r="25" ht="42" customHeight="1" spans="2:11" x14ac:dyDescent="0.25">
      <c r="B25" s="115"/>
      <c r="C25" s="103" t="s">
        <v>119</v>
      </c>
      <c r="D25" s="104"/>
      <c r="E25" s="105"/>
      <c r="F25" s="163" t="s">
        <v>41</v>
      </c>
      <c r="G25" s="93"/>
      <c r="H25" s="94"/>
      <c r="I25" s="94"/>
      <c r="J25" s="95"/>
      <c r="K25">
        <f>VLOOKUP(F25,Data!$F$3:$G$7,2,FALSE)</f>
        <v>3</v>
      </c>
    </row>
    <row r="26" ht="38" customHeight="1" spans="2:11" x14ac:dyDescent="0.25">
      <c r="B26" s="115"/>
      <c r="C26" s="103" t="s">
        <v>120</v>
      </c>
      <c r="D26" s="104"/>
      <c r="E26" s="105"/>
      <c r="F26" s="163" t="s">
        <v>41</v>
      </c>
      <c r="G26" s="93"/>
      <c r="H26" s="94"/>
      <c r="I26" s="94"/>
      <c r="J26" s="95"/>
      <c r="K26">
        <f>VLOOKUP(F26,Data!$F$3:$G$7,2,FALSE)</f>
        <v>3</v>
      </c>
    </row>
    <row r="27" ht="55" customHeight="1" spans="2:11" x14ac:dyDescent="0.25">
      <c r="B27" s="115"/>
      <c r="C27" s="103" t="s">
        <v>121</v>
      </c>
      <c r="D27" s="104"/>
      <c r="E27" s="105"/>
      <c r="F27" s="163" t="s">
        <v>41</v>
      </c>
      <c r="G27" s="93"/>
      <c r="H27" s="94"/>
      <c r="I27" s="94"/>
      <c r="J27" s="95"/>
      <c r="K27">
        <f>VLOOKUP(F27,Data!$F$3:$G$7,2,FALSE)</f>
        <v>0</v>
      </c>
    </row>
    <row r="28" ht="91" customHeight="1" spans="2:11" x14ac:dyDescent="0.25">
      <c r="B28" s="115"/>
      <c r="C28" s="103" t="s">
        <v>122</v>
      </c>
      <c r="D28" s="104"/>
      <c r="E28" s="105"/>
      <c r="F28" s="163" t="s">
        <v>41</v>
      </c>
      <c r="G28" s="93"/>
      <c r="H28" s="94"/>
      <c r="I28" s="94"/>
      <c r="J28" s="95"/>
      <c r="K28">
        <f>VLOOKUP(F28,Data!$F$3:$G$7,2,FALSE)</f>
        <v>1</v>
      </c>
    </row>
    <row r="29" ht="192" customHeight="1" spans="2:11" x14ac:dyDescent="0.25">
      <c r="B29" s="115"/>
      <c r="C29" s="103" t="s">
        <v>123</v>
      </c>
      <c r="D29" s="104"/>
      <c r="E29" s="105"/>
      <c r="F29" s="163" t="s">
        <v>41</v>
      </c>
      <c r="G29" s="99"/>
      <c r="H29" s="100"/>
      <c r="I29" s="100"/>
      <c r="J29" s="101"/>
      <c r="K29">
        <f>VLOOKUP(F29,Data!$F$3:$G$7,2,FALSE)</f>
        <v>3</v>
      </c>
    </row>
    <row r="30" ht="40" customHeight="1" spans="2:13" x14ac:dyDescent="0.25">
      <c r="B30" s="123" t="s">
        <v>90</v>
      </c>
      <c r="C30" s="124"/>
      <c r="D30" s="124"/>
      <c r="E30" s="124"/>
      <c r="F30" s="124"/>
      <c r="G30" s="125"/>
      <c r="H30" s="125"/>
      <c r="I30" s="126" t="s">
        <v>39</v>
      </c>
      <c r="J30" s="127">
        <f>AVERAGE(K31:K36)/3*100</f>
        <v>0</v>
      </c>
      <c r="K30" s="83"/>
      <c r="L30" s="83" t="str">
        <f>IF(J30&lt;5,"-",IF(J30&lt;10,"AL2","Sr Associate"))</f>
        <v>-</v>
      </c>
      <c r="M30" s="83"/>
    </row>
    <row r="31" ht="40" customHeight="1" spans="2:11" x14ac:dyDescent="0.25">
      <c r="B31" s="114" t="s">
        <v>124</v>
      </c>
      <c r="C31" s="129" t="s">
        <v>125</v>
      </c>
      <c r="D31" s="130"/>
      <c r="E31" s="131"/>
      <c r="F31" s="161" t="s">
        <v>41</v>
      </c>
      <c r="G31" s="89" t="s">
        <v>116</v>
      </c>
      <c r="H31" s="90"/>
      <c r="I31" s="90"/>
      <c r="J31" s="91"/>
      <c r="K31">
        <f>VLOOKUP(F31,Data!$D$3:$G$7,4,FALSE)</f>
        <v>0</v>
      </c>
    </row>
    <row r="32" ht="85" customHeight="1" spans="2:11" x14ac:dyDescent="0.25">
      <c r="B32" s="115"/>
      <c r="C32" s="130" t="s">
        <v>126</v>
      </c>
      <c r="D32" s="130"/>
      <c r="E32" s="131"/>
      <c r="F32" s="161" t="s">
        <v>41</v>
      </c>
      <c r="G32" s="93"/>
      <c r="H32" s="94"/>
      <c r="I32" s="94"/>
      <c r="J32" s="95"/>
      <c r="K32">
        <f>VLOOKUP(F32,Data!$D$3:$G$7,4,FALSE)</f>
        <v>0</v>
      </c>
    </row>
    <row r="33" ht="52" customHeight="1" spans="2:11" x14ac:dyDescent="0.25">
      <c r="B33" s="115"/>
      <c r="C33" s="129" t="s">
        <v>127</v>
      </c>
      <c r="D33" s="130"/>
      <c r="E33" s="131"/>
      <c r="F33" s="161" t="s">
        <v>41</v>
      </c>
      <c r="G33" s="93"/>
      <c r="H33" s="94"/>
      <c r="I33" s="94"/>
      <c r="J33" s="95"/>
      <c r="K33">
        <f>VLOOKUP(F33,Data!$D$3:$G$7,4,FALSE)</f>
        <v>0</v>
      </c>
    </row>
    <row r="34" ht="40" customHeight="1" spans="2:11" x14ac:dyDescent="0.25">
      <c r="B34" s="115"/>
      <c r="C34" s="129" t="s">
        <v>128</v>
      </c>
      <c r="D34" s="130"/>
      <c r="E34" s="131"/>
      <c r="F34" s="161" t="s">
        <v>41</v>
      </c>
      <c r="G34" s="93"/>
      <c r="H34" s="94"/>
      <c r="I34" s="94"/>
      <c r="J34" s="95"/>
      <c r="K34">
        <f>VLOOKUP(F34,Data!$D$3:$G$7,4,FALSE)</f>
        <v>0</v>
      </c>
    </row>
    <row r="35" ht="103" customHeight="1" spans="2:11" x14ac:dyDescent="0.25">
      <c r="B35" s="115"/>
      <c r="C35" s="129" t="s">
        <v>129</v>
      </c>
      <c r="D35" s="130"/>
      <c r="E35" s="131"/>
      <c r="F35" s="161" t="s">
        <v>41</v>
      </c>
      <c r="G35" s="93"/>
      <c r="H35" s="94"/>
      <c r="I35" s="94"/>
      <c r="J35" s="95"/>
      <c r="K35">
        <f>VLOOKUP(F35,Data!$D$3:$G$7,4,FALSE)</f>
        <v>0</v>
      </c>
    </row>
    <row r="36" ht="53" customHeight="1" spans="2:11" x14ac:dyDescent="0.25">
      <c r="B36" s="116"/>
      <c r="C36" s="129" t="s">
        <v>130</v>
      </c>
      <c r="D36" s="130"/>
      <c r="E36" s="131"/>
      <c r="F36" s="161" t="s">
        <v>41</v>
      </c>
      <c r="G36" s="99"/>
      <c r="H36" s="100"/>
      <c r="I36" s="100"/>
      <c r="J36" s="101"/>
      <c r="K36">
        <f>VLOOKUP(F36,Data!$D$3:$G$7,4,FALSE)</f>
        <v>0</v>
      </c>
    </row>
    <row r="37" ht="53" customHeight="1" spans="2:13" x14ac:dyDescent="0.25">
      <c r="B37" s="123" t="s">
        <v>91</v>
      </c>
      <c r="C37" s="124"/>
      <c r="D37" s="124"/>
      <c r="E37" s="124"/>
      <c r="F37" s="124"/>
      <c r="G37" s="125"/>
      <c r="H37" s="125"/>
      <c r="I37" s="126" t="s">
        <v>39</v>
      </c>
      <c r="J37" s="127">
        <f>AVERAGE(K38:K50)/3*100</f>
        <v>0</v>
      </c>
      <c r="K37" s="83"/>
      <c r="L37" s="83" t="str">
        <f>IF(J37&lt;5,"-",IF(J37&lt;10,"AL2","Sr Associate"))</f>
        <v>-</v>
      </c>
      <c r="M37" s="83"/>
    </row>
    <row r="38" ht="53" customHeight="1" spans="2:11" x14ac:dyDescent="0.25">
      <c r="B38" s="114" t="s">
        <v>91</v>
      </c>
      <c r="C38" s="129" t="s">
        <v>131</v>
      </c>
      <c r="D38" s="130"/>
      <c r="E38" s="131"/>
      <c r="F38" s="161" t="s">
        <v>41</v>
      </c>
      <c r="G38" s="89" t="s">
        <v>116</v>
      </c>
      <c r="H38" s="90"/>
      <c r="I38" s="90"/>
      <c r="J38" s="91"/>
      <c r="K38">
        <f>VLOOKUP(F38,Data!$D$3:$G$7,4,FALSE)</f>
        <v>0</v>
      </c>
    </row>
    <row r="39" ht="18" customHeight="1" spans="2:11" x14ac:dyDescent="0.25">
      <c r="B39" s="115"/>
      <c r="C39" s="129" t="s">
        <v>132</v>
      </c>
      <c r="D39" s="130"/>
      <c r="E39" s="131"/>
      <c r="F39" s="161" t="s">
        <v>41</v>
      </c>
      <c r="G39" s="93"/>
      <c r="H39" s="94"/>
      <c r="I39" s="94"/>
      <c r="J39" s="95"/>
      <c r="K39">
        <f>VLOOKUP(F39,Data!$D$3:$G$7,4,FALSE)</f>
        <v>0</v>
      </c>
    </row>
    <row r="40" ht="37" customHeight="1" spans="2:11" x14ac:dyDescent="0.25">
      <c r="B40" s="115"/>
      <c r="C40" s="129" t="s">
        <v>133</v>
      </c>
      <c r="D40" s="130"/>
      <c r="E40" s="131"/>
      <c r="F40" s="161" t="s">
        <v>41</v>
      </c>
      <c r="G40" s="93"/>
      <c r="H40" s="94"/>
      <c r="I40" s="94"/>
      <c r="J40" s="95"/>
      <c r="K40">
        <f>VLOOKUP(F40,Data!$D$3:$G$7,4,FALSE)</f>
        <v>0</v>
      </c>
    </row>
    <row r="41" ht="37" customHeight="1" spans="2:11" x14ac:dyDescent="0.25">
      <c r="B41" s="115"/>
      <c r="C41" s="129" t="s">
        <v>134</v>
      </c>
      <c r="D41" s="130"/>
      <c r="E41" s="131"/>
      <c r="F41" s="161" t="s">
        <v>41</v>
      </c>
      <c r="G41" s="93"/>
      <c r="H41" s="94"/>
      <c r="I41" s="94"/>
      <c r="J41" s="95"/>
      <c r="K41">
        <f>VLOOKUP(F41,Data!$D$3:$G$7,4,FALSE)</f>
        <v>0</v>
      </c>
    </row>
    <row r="42" ht="42" customHeight="1" spans="2:11" x14ac:dyDescent="0.25">
      <c r="B42" s="115"/>
      <c r="C42" s="129" t="s">
        <v>135</v>
      </c>
      <c r="D42" s="130"/>
      <c r="E42" s="131"/>
      <c r="F42" s="161" t="s">
        <v>41</v>
      </c>
      <c r="G42" s="93"/>
      <c r="H42" s="94"/>
      <c r="I42" s="94"/>
      <c r="J42" s="95"/>
      <c r="K42">
        <f>VLOOKUP(F42,Data!$D$3:$G$7,4,FALSE)</f>
        <v>0</v>
      </c>
    </row>
    <row r="43" ht="33" customHeight="1" spans="2:11" x14ac:dyDescent="0.25">
      <c r="B43" s="116"/>
      <c r="C43" s="132" t="s">
        <v>136</v>
      </c>
      <c r="D43" s="130"/>
      <c r="E43" s="131"/>
      <c r="F43" s="161" t="s">
        <v>41</v>
      </c>
      <c r="G43" s="99"/>
      <c r="H43" s="100"/>
      <c r="I43" s="100"/>
      <c r="J43" s="101"/>
      <c r="K43">
        <f>VLOOKUP(F43,Data!$D$3:$G$7,4,FALSE)</f>
        <v>0</v>
      </c>
    </row>
    <row r="44" ht="41" customHeight="1" spans="2:10" x14ac:dyDescent="0.25">
      <c r="B44" s="123" t="s">
        <v>79</v>
      </c>
      <c r="C44" s="124"/>
      <c r="D44" s="124"/>
      <c r="E44" s="124"/>
      <c r="F44" s="124"/>
      <c r="G44" s="124"/>
      <c r="H44" s="124"/>
      <c r="I44" s="124"/>
      <c r="J44" s="133"/>
    </row>
    <row r="45" ht="57" customHeight="1" spans="2:10" x14ac:dyDescent="0.25">
      <c r="B45" s="134" t="s">
        <v>80</v>
      </c>
      <c r="C45" s="129" t="s">
        <v>81</v>
      </c>
      <c r="D45" s="131"/>
      <c r="E45" s="135" t="s">
        <v>82</v>
      </c>
      <c r="F45" s="136" t="s">
        <v>83</v>
      </c>
      <c r="G45" s="106"/>
      <c r="H45" s="107"/>
      <c r="I45" s="107"/>
      <c r="J45" s="108"/>
    </row>
    <row r="46" ht="22" customHeight="1" spans="2:10" x14ac:dyDescent="0.25">
      <c r="B46" s="137" t="s">
        <v>84</v>
      </c>
      <c r="C46" s="138"/>
      <c r="D46" s="138"/>
      <c r="E46" s="138"/>
      <c r="F46" s="139"/>
      <c r="G46" s="164"/>
      <c r="H46" s="165"/>
      <c r="I46" s="165"/>
      <c r="J46" s="166"/>
    </row>
  </sheetData>
  <mergeCells count="59">
    <mergeCell ref="B2:J3"/>
    <mergeCell ref="I4:J4"/>
    <mergeCell ref="D4:D8"/>
    <mergeCell ref="G4:G8"/>
    <mergeCell ref="I5:J5"/>
    <mergeCell ref="I6:J6"/>
    <mergeCell ref="I7:J8"/>
    <mergeCell ref="H7:H8"/>
    <mergeCell ref="B9:C9"/>
    <mergeCell ref="D9:J9"/>
    <mergeCell ref="B10:C10"/>
    <mergeCell ref="D10:J10"/>
    <mergeCell ref="D11:J11"/>
    <mergeCell ref="C12:E12"/>
    <mergeCell ref="G12:J12"/>
    <mergeCell ref="B13:F13"/>
    <mergeCell ref="C14:E14"/>
    <mergeCell ref="G14:J20"/>
    <mergeCell ref="B14:B20"/>
    <mergeCell ref="C15:E15"/>
    <mergeCell ref="C16:E16"/>
    <mergeCell ref="C17:E17"/>
    <mergeCell ref="C18:E18"/>
    <mergeCell ref="C19:E19"/>
    <mergeCell ref="C20:E20"/>
    <mergeCell ref="B21:F21"/>
    <mergeCell ref="C22:E22"/>
    <mergeCell ref="G22:J29"/>
    <mergeCell ref="B22:B29"/>
    <mergeCell ref="C23:E23"/>
    <mergeCell ref="C24:E24"/>
    <mergeCell ref="C25:E25"/>
    <mergeCell ref="C26:E26"/>
    <mergeCell ref="C27:E27"/>
    <mergeCell ref="C28:E28"/>
    <mergeCell ref="C29:E29"/>
    <mergeCell ref="B30:F30"/>
    <mergeCell ref="C31:E31"/>
    <mergeCell ref="G31:J36"/>
    <mergeCell ref="B31:B36"/>
    <mergeCell ref="C32:E32"/>
    <mergeCell ref="C33:E33"/>
    <mergeCell ref="C34:E34"/>
    <mergeCell ref="C35:E35"/>
    <mergeCell ref="C36:E36"/>
    <mergeCell ref="B37:F37"/>
    <mergeCell ref="C38:E38"/>
    <mergeCell ref="G38:J43"/>
    <mergeCell ref="B38:B43"/>
    <mergeCell ref="C39:E39"/>
    <mergeCell ref="C40:E40"/>
    <mergeCell ref="C41:E41"/>
    <mergeCell ref="C42:E42"/>
    <mergeCell ref="C43:E43"/>
    <mergeCell ref="B44:J44"/>
    <mergeCell ref="C45:D45"/>
    <mergeCell ref="G45:J45"/>
    <mergeCell ref="B46:F46"/>
    <mergeCell ref="G46:J46"/>
  </mergeCells>
  <conditionalFormatting sqref="F7">
    <cfRule type="cellIs" dxfId="2" priority="1" operator="equal">
      <formula>"REJECTED"</formula>
    </cfRule>
  </conditionalFormatting>
  <conditionalFormatting sqref="F8">
    <cfRule type="iconSet" priority="5">
      <iconSet iconSet="3Symbols2">
        <cfvo type="percent" val="0"/>
        <cfvo type="num" val="3"/>
        <cfvo type="num" val="5"/>
      </iconSet>
    </cfRule>
  </conditionalFormatting>
  <dataValidations count="11">
    <dataValidation type="list" allowBlank="1" showInputMessage="1" showErrorMessage="1" sqref="C11">
      <formula1>React_Exercise</formula1>
    </dataValidation>
    <dataValidation type="list" allowBlank="1" showInputMessage="1" showErrorMessage="1" sqref="C7">
      <formula1>Career_Stage</formula1>
    </dataValidation>
    <dataValidation type="list" allowBlank="1" showInputMessage="1" showErrorMessage="1" sqref="F14:F20">
      <formula1>Scoring_Development</formula1>
    </dataValidation>
    <dataValidation type="list" allowBlank="1" showInputMessage="1" showErrorMessage="1" sqref="F22:F29">
      <formula1>Scoring_Development</formula1>
    </dataValidation>
    <dataValidation type="list" allowBlank="1" showInputMessage="1" showErrorMessage="1" sqref="F31:F36">
      <formula1>Scoring_Architecture</formula1>
    </dataValidation>
    <dataValidation type="list" allowBlank="1" showInputMessage="1" showErrorMessage="1" sqref="F38:F43">
      <formula1>Scoring_Architecture</formula1>
    </dataValidation>
    <dataValidation type="list" allowBlank="1" showInputMessage="1" showErrorMessage="1" sqref="G46:J46">
      <formula1>Will_You_Take_Person</formula1>
    </dataValidation>
    <dataValidation type="list" allowBlank="1" showInputMessage="1" showErrorMessage="1" sqref="I4:J4">
      <formula1>Interview_Outcome</formula1>
    </dataValidation>
    <dataValidation type="list" allowBlank="1" showInputMessage="1" showErrorMessage="1" sqref="I5:J5">
      <formula1>Career_Stage</formula1>
    </dataValidation>
    <dataValidation type="list" allowBlank="1" showInputMessage="1" showErrorMessage="1" sqref="I6:J6">
      <formula1>Rejection_Reason</formula1>
    </dataValidation>
    <dataValidation type="list" allowBlank="1" showInputMessage="1" showErrorMessage="1" sqref="I7:J8">
      <formula1>React_Training_Sections</formula1>
    </dataValidation>
  </dataValidations>
  <pageMargins left="0.7" right="0.7" top="0.75" bottom="0.75" header="0.3" footer="0.3"/>
  <pageSetup paperSize="9" orientation="portrait" horizontalDpi="0" verticalDpi="0"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zoomScale="180" zoomScaleNormal="180">
      <selection activeCell="B6" sqref="B6"/>
    </sheetView>
  </sheetViews>
  <sheetFormatPr defaultRowHeight="16" outlineLevelRow="0" outlineLevelCol="0" x14ac:dyDescent="0.2" defaultColWidth="11" customHeight="1"/>
  <cols>
    <col min="1" max="1" width="17.83203125" customWidth="1"/>
    <col min="2" max="2" width="122.6640625" customWidth="1"/>
  </cols>
  <sheetData>
    <row r="1" spans="1:1" x14ac:dyDescent="0.25">
      <c r="A1" t="s">
        <v>161</v>
      </c>
    </row>
    <row r="2" spans="1:2" x14ac:dyDescent="0.25">
      <c r="A2" t="s">
        <v>33</v>
      </c>
      <c r="B2" t="s">
        <v>162</v>
      </c>
    </row>
    <row r="3" spans="1:2" x14ac:dyDescent="0.25">
      <c r="A3" t="s">
        <v>163</v>
      </c>
      <c r="B3" t="s">
        <v>164</v>
      </c>
    </row>
    <row r="4" spans="1:2" x14ac:dyDescent="0.25">
      <c r="A4" t="s">
        <v>165</v>
      </c>
      <c r="B4" t="s">
        <v>166</v>
      </c>
    </row>
    <row r="5" spans="1:2" x14ac:dyDescent="0.25">
      <c r="A5" t="s">
        <v>167</v>
      </c>
      <c r="B5" t="s">
        <v>168</v>
      </c>
    </row>
    <row r="6" spans="1:2" x14ac:dyDescent="0.25">
      <c r="A6" t="s">
        <v>101</v>
      </c>
      <c r="B6" t="s">
        <v>169</v>
      </c>
    </row>
    <row r="7" spans="1:2" x14ac:dyDescent="0.25">
      <c r="A7" t="s">
        <v>170</v>
      </c>
      <c r="B7" t="s">
        <v>171</v>
      </c>
    </row>
    <row r="8" spans="1:2" x14ac:dyDescent="0.25">
      <c r="A8" t="s">
        <v>172</v>
      </c>
      <c r="B8" t="s">
        <v>173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zoomScale="150" zoomScaleNormal="150">
      <selection activeCell="A2" sqref="A2"/>
    </sheetView>
  </sheetViews>
  <sheetFormatPr defaultRowHeight="16" outlineLevelRow="0" outlineLevelCol="0" x14ac:dyDescent="0.2" defaultColWidth="11" customHeight="1"/>
  <sheetData>
    <row r="1" spans="1:1" x14ac:dyDescent="0.25">
      <c r="A1" t="s">
        <v>174</v>
      </c>
    </row>
    <row r="2" spans="1:2" x14ac:dyDescent="0.25">
      <c r="A2" t="s">
        <v>33</v>
      </c>
      <c r="B2" t="s">
        <v>175</v>
      </c>
    </row>
    <row r="3" spans="1:2" x14ac:dyDescent="0.25">
      <c r="A3" t="s">
        <v>163</v>
      </c>
      <c r="B3" t="s">
        <v>176</v>
      </c>
    </row>
    <row r="4" spans="1:2" x14ac:dyDescent="0.25">
      <c r="A4" t="s">
        <v>165</v>
      </c>
      <c r="B4" t="s">
        <v>177</v>
      </c>
    </row>
    <row r="5" spans="1:2" x14ac:dyDescent="0.25">
      <c r="A5" t="s">
        <v>167</v>
      </c>
      <c r="B5" t="s">
        <v>178</v>
      </c>
    </row>
    <row r="6" spans="1:2" x14ac:dyDescent="0.25">
      <c r="A6" t="s">
        <v>101</v>
      </c>
      <c r="B6" t="s">
        <v>179</v>
      </c>
    </row>
    <row r="7" spans="1:2" x14ac:dyDescent="0.25">
      <c r="A7" t="s">
        <v>170</v>
      </c>
      <c r="B7" t="s">
        <v>180</v>
      </c>
    </row>
    <row r="8" spans="1:2" x14ac:dyDescent="0.25">
      <c r="A8" t="s">
        <v>172</v>
      </c>
      <c r="B8" t="s">
        <v>173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1 - HTML, CSS &amp; NFRs</vt:lpstr>
      <vt:lpstr>2 - FW React</vt:lpstr>
      <vt:lpstr>Data</vt:lpstr>
      <vt:lpstr>React Exercise</vt:lpstr>
      <vt:lpstr>Core Exercise</vt:lpstr>
      <vt:lpstr>_meta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dc:title/>
  <dc:subject/>
  <dc:description/>
  <cp:keywords/>
  <cp:category/>
  <cp:lastModifiedBy>Siddhartha Chatterjee</cp:lastModifiedBy>
  <cp:contentStatus/>
  <dcterms:created xsi:type="dcterms:W3CDTF">2023-01-12T09:52:17Z</dcterms:created>
  <dcterms:modified xsi:type="dcterms:W3CDTF">2026-05-07T06:43:30Z</dcterms:modified>
</cp:coreProperties>
</file>