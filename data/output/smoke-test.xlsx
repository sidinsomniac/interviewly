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4" name="2 - FW React" state="visible" r:id="rId5"/>
    <sheet sheetId="2" name="Data" state="hidden" r:id="rId6"/>
    <sheet sheetId="5" name="React Exercise" state="hidden" r:id="rId7"/>
    <sheet sheetId="6" name="Core Exercise" state="hidden" r:id="rId8"/>
    <sheet sheetId="3" name="_meta" state="hidden" r:id="rId9"/>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<sst xmlns="http://schemas.openxmlformats.org/spreadsheetml/2006/main" count="324" uniqueCount="206">
  <si>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</si>
  <si>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</si>
  <si>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</si>
  <si>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</si>
  <si>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</si>
  <si>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</si>
  <si>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</si>
  <si>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</si>
  <si>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</si>
  <si>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</si>
  <si>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</si>
  <si>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</si>
  <si>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</si>
  <si>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</si>
  <si>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</si>
  <si>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</si>
  <si>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</si>
  <si>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</si>
  <si>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</si>
  <si>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</si>
  <si>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</si>
  <si>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</si>
  <si>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</si>
  <si>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</si>
  <si>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</si>
  <si>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</si>
  <si>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</si>
  <si>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</si>
  <si>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</si>
  <si>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</si>
  <si>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</si>
  <si>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</si>
  <si>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</si>
  <si>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</si>
  <si>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</si>
  <si>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</si>
  <si>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</si>
  <si>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</si>
  <si>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</si>
  <si>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</si>
  <si>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</si>
  <si>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</si>
  <si>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</si>
  <si>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</si>
  <si>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</si>
  <si>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</si>
  <si>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</si>
  <si>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</si>
  <si>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</si>
  <si>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</si>
  <si>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</si>
  <si>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</si>
  <si>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</si>
  <si>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</si>
  <si>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</si>
  <si>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</si>
  <si>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</si>
  <si>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color rgb="FFFF0000"/>
        <sz val="12"/>
        <rFont val="Calibri (Body)"/>
      </rPr>
      <t>(Cover maximum listed topics as hands-on coding exercise)</t>
    </r>
  </si>
  <si>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</si>
  <si>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</si>
  <si>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</si>
  <si>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</si>
  <si>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</si>
  <si>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</si>
  <si>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 xml:space="preserve">Able to explain the benefits and trade-offs of using TypeScript over JavaScript. 
Understands basic types, including string, number, boolean, undefined, null, and any.</t>
  </si>
  <si>
    <t xml:space="preserve">Comfortable with advanced types such as interfaces, enums, tuples, generics, and unions. 
</t>
  </si>
  <si>
    <t xml:space="preserve">Experience in using TypeScript with popular frontend frameworks, particularly React. 
Has experience configuring a TypeScript project using tsconfig.json.</t>
  </si>
  <si>
    <t>Tooling &amp; Bundlers</t>
  </si>
  <si>
    <t>Bundlers</t>
  </si>
  <si>
    <t xml:space="preserve">Able to explain concept of Monorepo and related tools (nx, turborepo)
Experience configuring a module bundler - webpack/esbuild/rollup/vite</t>
  </si>
  <si>
    <t>Tooling</t>
  </si>
  <si>
    <t xml:space="preserve">Has experience of using &amp; configuring following tools:
Linters - Pa11y, ESLint, Sonar
Formatters - Prettier
GitHooks - Husky, lint-staged
WebServers - Apache/Nginx</t>
  </si>
  <si>
    <t>NFR's</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</si>
  <si>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</si>
  <si>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</si>
  <si>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</si>
  <si>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 xml:space="preserve">Able to explain security &amp; compliance topics like: HIPPA, GDPR, PCI, PII, XSS, CORS, MITM, CSP, CSRF, OWASP, SSL/TLS
Able to explain mechanism to secure cookies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</si>
  <si>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</si>
  <si>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</si>
  <si>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</si>
  <si>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</si>
  <si>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</si>
  <si>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</si>
  <si>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</si>
  <si>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</si>
  <si>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Gurnoor Kaur</t>
  </si>
  <si>
    <t>Siddhartha Chatterjee</t>
  </si>
  <si>
    <t>Selected</t>
  </si>
  <si>
    <t>React Basics</t>
  </si>
  <si>
    <t>React Advance</t>
  </si>
  <si>
    <t>Node</t>
  </si>
  <si>
    <t>GraphQL</t>
  </si>
  <si>
    <t>React Specialist</t>
  </si>
  <si>
    <t>Smoke Test Candidate</t>
  </si>
  <si>
    <t>Interviewly Bot</t>
  </si>
  <si>
    <t>AI-001</t>
  </si>
  <si>
    <t>Senior Experience Engineer</t>
  </si>
  <si>
    <t>05/27/2026</t>
  </si>
  <si>
    <t xml:space="preserve">Gurnoor demonstrated consistent hands-on strength across both foundational and advanced React concepts. She confidently handled the preliminary exercise and branching discussions, showing solid understanding of hooks, component structuring, state management, and rendering optimization. Her approach to forms, asynchronous flows, and nested implementations was practical and well-organized.
She independently completed the Shopping Cart exercise and showed good awareness of performance considerations, memoization, and scalable state management patterns using Context and Redux Toolkit. Overall, Gurnoor displayed the level of practical understanding and problem-solving expected from a senior React developer.</t>
  </si>
  <si>
    <t>Candidate demonstrated strong React fundamentals and component design skills.</t>
  </si>
  <si>
    <t>Shopping Cart</t>
  </si>
  <si>
    <r>
      <t xml:space="preserve">React Basics </t>
    </r>
    <r>
      <rPr>
        <b/>
        <color rgb="FFFF0000"/>
        <sz val="12"/>
        <rFont val="Calibri (Body)"/>
      </rPr>
      <t>(Cover maximum listed topics as hands-on coding exercise)</t>
    </r>
  </si>
  <si>
    <t xml:space="preserve">Able to create nested components, and write clean JSX markup (and uses atomic design principle)
Able to do conditional rendering
Able to import &amp; export components through different files (both default and named exports)</t>
  </si>
  <si>
    <t>Confident hands on developer</t>
  </si>
  <si>
    <t>Smoke test feedback for row 20 — React — error boundaries.</t>
  </si>
  <si>
    <t>Able to style the component using traditional css or css-in-js</t>
  </si>
  <si>
    <t>Able to demonstrate use of fragments, useEffect, useState</t>
  </si>
  <si>
    <t xml:space="preserve">Able to render a component in loop and understands best practices related to key attribute </t>
  </si>
  <si>
    <t xml:space="preserve">Able to create form and handle submitting data using Ajax
Able to bind events to form submit and add validation to form fields </t>
  </si>
  <si>
    <t>Able to write functional unit test cases for react component using enzyme/RTL (not snapshot)</t>
  </si>
  <si>
    <t xml:space="preserve">Able to demonstrate handling error using error boundries </t>
  </si>
  <si>
    <r>
      <t xml:space="preserve">React Advance </t>
    </r>
    <r>
      <rPr>
        <b/>
        <color rgb="FFFF0000"/>
        <sz val="12"/>
        <rFont val="Calibri (Body)"/>
      </rPr>
      <t>(Cover maximum listed topics as hands-on coding exercise)</t>
    </r>
  </si>
  <si>
    <t>React Advanced</t>
  </si>
  <si>
    <t>Has worked with various rendering patterns in React and Next JS e.g. SSR, CSR, SSG, ISR and able to define them</t>
  </si>
  <si>
    <t>Smoke test feedback for row 29 — npm registries, dotenv, logging best practices.</t>
  </si>
  <si>
    <t>Able to explain and create react specific design patters e.g. Custom Hooks, Higher Order Components, Render Props, Compound Component, etc</t>
  </si>
  <si>
    <t xml:space="preserve">Able to explain usecases for using Context API and how to use it with useReducer pattern </t>
  </si>
  <si>
    <t>Able to define purpose of useRef with real life use cases and best practices</t>
  </si>
  <si>
    <t>Able to demonstrate memoization in react using useMemo and useCallback and explain different use cases for each of them</t>
  </si>
  <si>
    <t xml:space="preserve">Able to explain react routing/next routing 
Able to explain route based chunking, react lazy and suspense
Able to give PoV on SPA and MPA</t>
  </si>
  <si>
    <t xml:space="preserve">Able to give PoV on various state management techniques e.g. Redux, redux toolkit, react-query, recoil, jotai, context api, xstate, Apollo Client, etc. 
Able to give explain handling of side-effects with state management library (e.g. redux thunk, saga, etc)</t>
  </si>
  <si>
    <t xml:space="preserve">Understands public and private npm registry and publishing of packages
Able to explain using environment variables using dotenv module
Able to explain importance of logging in server application, and best practices around logging like log levels and log redaction</t>
  </si>
  <si>
    <t>Node JS</t>
  </si>
  <si>
    <t>Has implemented and able to explain architectural concepts like - MicroServices, 12 factor, Monolith, Serverless, Domain Driven Design</t>
  </si>
  <si>
    <t xml:space="preserve">Able to explain concepts in depth </t>
  </si>
  <si>
    <t>Smoke test feedback for row 36 — Node frameworks (fastify, koa, express, nest.js).</t>
  </si>
  <si>
    <t xml:space="preserve"> - Able to create a basic HTTP server
- Understands request &amp; response objects &amp; headers
- Understands different HTTP verbs like GET, POST, DELETE, PUT etc
- Understands  commonly used HTTP response codes (2xx, 3xx, 4xx, 5xx)
- Understands Error &amp; Exception Handling with HTTP Server</t>
  </si>
  <si>
    <t xml:space="preserve"> - Able to create a RESTful API and explain RESTful principles
- Experience working with API documentation/testing tools like swagger, openAPI, PostMan</t>
  </si>
  <si>
    <t>Has worked upon and able to explain about streaming architecture solutions like WebSockets, Server Sent Events and its use cases</t>
  </si>
  <si>
    <t xml:space="preserve"> - Able to give PoV on Relational vs Non-Relational DBs
- Explain the importance of ORM and give examples of node based ORMs
- Understands DB concepts like CAP theorem, ACID compliance, Sharding, Replication
- Experience working with in Memory Datastores - Redis, Memcached, Couchbase, etc</t>
  </si>
  <si>
    <t xml:space="preserve"> - Understands difference between commonjs and ejs module systems
- Has worked on a node based API framework like fastify, koa, express, Hapi, nest.js</t>
  </si>
  <si>
    <t xml:space="preserve"> - Able to explain benefits and challenges with GraphQL implementation
- Has experience creating GraphQL API server - e.g. Apollo GraphQL, Apollo Federation, AWS AppSync, Hasura, Prisma</t>
  </si>
  <si>
    <t>Smoke test feedback for row 43 — GraphQL — clients.</t>
  </si>
  <si>
    <t>Able to present POV on caching challenges and strategies with GraphQL</t>
  </si>
  <si>
    <t>Able to explain concepts like batching, introspection and scalar types  (Int, Float, Boolean, String, ID) in GraphQL</t>
  </si>
  <si>
    <t>Able to explain error handling and arguments handling in GraphQL</t>
  </si>
  <si>
    <t xml:space="preserve"> - Able to write schema and resolvers in GraphQL
- Able to work with GraphQL Playground</t>
  </si>
  <si>
    <t>Able to work with GraphQL client to write Queries and get data from GraphQL server</t>
  </si>
  <si>
    <t>Interview Outcome</t>
  </si>
  <si>
    <t>Scoring Architecture</t>
  </si>
  <si>
    <t>Rejection Reason</t>
  </si>
  <si>
    <t>Scoring Development</t>
  </si>
  <si>
    <t>Scoring Score</t>
  </si>
  <si>
    <t>Core XT Training Sections</t>
  </si>
  <si>
    <t>Will You Take Person</t>
  </si>
  <si>
    <t>React Training Sections</t>
  </si>
  <si>
    <t>Experience Engineer L1</t>
  </si>
  <si>
    <t>Lacked Fundamentals</t>
  </si>
  <si>
    <t>Yes</t>
  </si>
  <si>
    <t>Experience Engineer L2</t>
  </si>
  <si>
    <t>Rejected</t>
  </si>
  <si>
    <t>No Experience</t>
  </si>
  <si>
    <t>No Hands on Experience</t>
  </si>
  <si>
    <t>No</t>
  </si>
  <si>
    <t>Needs Another Round</t>
  </si>
  <si>
    <t xml:space="preserve">Awareness of concepts </t>
  </si>
  <si>
    <t>Gaps in multiple categories</t>
  </si>
  <si>
    <t>Able to explain concepts theoritically</t>
  </si>
  <si>
    <t>HTML/CSS &amp; NFR</t>
  </si>
  <si>
    <t>Lead Experience Engineer</t>
  </si>
  <si>
    <t xml:space="preserve">Able to explain concepts in depth  </t>
  </si>
  <si>
    <t>Able to code with guidance</t>
  </si>
  <si>
    <t>Manager Experience Engineering</t>
  </si>
  <si>
    <t xml:space="preserve">Confident with decision making &amp; hands on </t>
  </si>
  <si>
    <t>React</t>
  </si>
  <si>
    <r>
      <t xml:space="preserve">Create a React web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</si>
  <si>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Pokemon 2</t>
  </si>
  <si>
    <t>Create a React web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</si>
  <si>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Starwars 1</t>
  </si>
  <si>
    <t>Create a React web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</si>
  <si>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Starwars 2</t>
  </si>
  <si>
    <t>Create a React web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</si>
  <si>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</si>
  <si>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Product Listing Page</t>
  </si>
  <si>
    <t>Create a React web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</si>
  <si>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Custom</t>
  </si>
  <si>
    <t>Describe the problem statement asked</t>
  </si>
  <si>
    <t>Core</t>
  </si>
  <si>
    <r>
      <t xml:space="preserve">Create a vanilla JS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</si>
  <si>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Create a vanilla js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</si>
  <si>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Create a vanilla js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</si>
  <si>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Create a vanilla js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</si>
  <si>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vanilla js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</si>
  <si>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Create a vanilla js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</si>
  <si>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app</t>
  </si>
  <si>
    <t>interviewly</t>
  </si>
  <si>
    <t>version</t>
  </si>
  <si>
    <t>0.1.0</t>
  </si>
  <si>
    <t>model_provider</t>
  </si>
  <si>
    <t>deepseek</t>
  </si>
  <si>
    <t>model_id</t>
  </si>
  <si>
    <t>deepseek-v4-flash</t>
  </si>
  <si>
    <t>generated_at</t>
  </si>
  <si>
    <t>2026-05-27T16:24:03.800Z</t>
  </si>
  <si>
    <t>meeting_id</t>
  </si>
  <si>
    <t>smoke-test</t>
  </si>
  <si>
    <t>transcript_sha256</t>
  </si>
  <si>
    <t>0000000000000000000000000000000000000000000000000000000000000000</t>
  </si>
  <si>
    <t>recruiter_email</t>
  </si>
  <si>
    <t>smoke@example.com</t>
  </si>
  <si>
    <t>bot_user_email</t>
  </si>
  <si>
    <t>bot@example.com</t>
  </si>
  <si>
    <t>test_mode</t>
  </si>
  <si>
    <t>false</t>
  </si>
  <si>
    <t>fixture_id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</si>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</sst>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4">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
      <left style="medium">
        <color indexed="64"/>
      </left>
      <right style="medium">
        <color indexed="64"/>
      </right>
      <top/>
      <bottom style="thin"/>
      <diagonal/>
    </border>
    <border>
      <left style="medium">
        <color indexed="64"/>
      </left>
      <right style="medium">
        <color indexed="64"/>
      </right>
      <top style="thin"/>
      <bottom style="medium">
        <color indexed="64"/>
      </bottom>
      <diagonal/>
    </border>
  </borders>
  <cellStyleXfs count="1">
    <xf numFmtId="0" fontId="0" fillId="0" borderId="0"/>
  </cellStyleXfs>
  <cellXfs count="169">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4" borderId="52" xfId="0" applyFont="1" applyFill="1" applyBorder="1" applyAlignment="1">
      <alignment horizontal="center" vertical="center"/>
    </xf>
    <xf numFmtId="0" fontId="2" fillId="4" borderId="52" xfId="0" applyFont="1" applyFill="1" applyBorder="1" applyAlignment="1">
      <alignment horizontal="left" vertical="center"/>
    </xf>
    <xf numFmtId="9" fontId="2" fillId="5" borderId="13" xfId="0" applyNumberFormat="1" applyFont="1" applyFill="1" applyBorder="1"/>
    <xf numFmtId="0" fontId="1" fillId="10" borderId="17" xfId="0" applyFont="1" applyFill="1" applyBorder="1" applyAlignment="1">
      <alignment vertical="center"/>
    </xf>
    <xf numFmtId="0" fontId="2" fillId="4" borderId="53" xfId="0" applyFont="1" applyFill="1" applyBorder="1" applyAlignment="1">
      <alignment horizontal="center" vertical="center"/>
    </xf>
    <xf numFmtId="0" fontId="2" fillId="4" borderId="53" xfId="0" applyFont="1" applyFill="1" applyBorder="1" applyAlignment="1">
      <alignment horizontal="left" vertical="center"/>
    </xf>
    <xf numFmtId="0" fontId="5" fillId="12" borderId="43" xfId="0" applyFont="1" applyFill="1" applyBorder="1" applyAlignment="1">
      <alignment horizontal="left" vertical="center" wrapText="1"/>
    </xf>
    <xf numFmtId="0" fontId="5" fillId="12" borderId="0" xfId="0" applyFont="1" applyFill="1" applyAlignment="1">
      <alignment horizontal="left" vertical="center" wrapText="1"/>
    </xf>
    <xf numFmtId="0" fontId="5" fillId="12" borderId="0" xfId="0" applyFont="1" applyFill="1" applyAlignment="1" applyProtection="1">
      <alignment horizontal="left" vertical="top" wrapText="1"/>
      <protection locked="0"/>
    </xf>
    <xf numFmtId="0" fontId="5" fillId="12" borderId="29" xfId="0" applyFont="1" applyFill="1" applyBorder="1" applyAlignment="1" applyProtection="1">
      <alignment horizontal="left" vertical="top" wrapText="1"/>
      <protection locked="0"/>
    </xf>
    <xf numFmtId="0" fontId="2" fillId="13" borderId="34" xfId="0" applyFont="1" applyFill="1" applyBorder="1" applyAlignment="1">
      <alignment horizontal="left" vertical="top" wrapText="1"/>
    </xf>
    <xf numFmtId="0" fontId="2" fillId="13" borderId="35" xfId="0" applyFont="1" applyFill="1" applyBorder="1" applyAlignment="1">
      <alignment horizontal="left" vertical="top" wrapText="1"/>
    </xf>
    <xf numFmtId="0" fontId="1" fillId="14" borderId="46" xfId="0" applyFont="1" applyFill="1" applyBorder="1" applyAlignment="1">
      <alignment horizontal="left" vertical="center"/>
    </xf>
    <xf numFmtId="0" fontId="1" fillId="14" borderId="44" xfId="0" applyFont="1" applyFill="1" applyBorder="1" applyAlignment="1">
      <alignment horizontal="left" vertical="center" wrapText="1"/>
    </xf>
    <xf numFmtId="0" fontId="1" fillId="14" borderId="32" xfId="0" applyFont="1" applyFill="1" applyBorder="1" applyAlignment="1">
      <alignment horizontal="left" vertical="center" wrapText="1"/>
    </xf>
    <xf numFmtId="0" fontId="1" fillId="14" borderId="33" xfId="0" applyFont="1" applyFill="1" applyBorder="1" applyAlignment="1">
      <alignment horizontal="left" vertical="center" wrapText="1"/>
    </xf>
    <xf numFmtId="0" fontId="1" fillId="14" borderId="46" xfId="0" applyFont="1" applyFill="1" applyBorder="1" applyAlignment="1">
      <alignment horizontal="left" vertical="center" wrapText="1"/>
    </xf>
    <xf numFmtId="0" fontId="1" fillId="14" borderId="44" xfId="0" applyFont="1" applyFill="1" applyBorder="1" applyAlignment="1">
      <alignment horizontal="left" vertical="center"/>
    </xf>
    <xf numFmtId="0" fontId="1" fillId="14" borderId="32" xfId="0" applyFont="1" applyFill="1" applyBorder="1" applyAlignment="1">
      <alignment horizontal="left" vertical="center"/>
    </xf>
    <xf numFmtId="0" fontId="1" fillId="14" borderId="33" xfId="0" applyFont="1" applyFill="1" applyBorder="1" applyAlignment="1">
      <alignment horizontal="left" vertical="center"/>
    </xf>
    <xf numFmtId="9" fontId="2" fillId="0" borderId="0" xfId="0" applyNumberFormat="1" applyFont="1" applyAlignment="1">
      <alignment horizontal="left" vertical="center"/>
    </xf>
    <xf numFmtId="0" fontId="2" fillId="3" borderId="4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10" borderId="0" xfId="0" applyFont="1" applyFill="1"/>
    <xf numFmtId="0" fontId="2" fillId="0" borderId="0" xfId="0" applyFont="1" applyAlignment="1">
      <alignment horizontal="lef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c r="D4" s="9"/>
      <c r="E4" s="10" t="s">
        <v>2</v>
      </c>
      <c r="F4" s="11"/>
      <c r="G4" s="12"/>
      <c r="H4" s="13" t="s">
        <v>3</v>
      </c>
      <c r="I4" s="8"/>
      <c r="J4" s="14"/>
      <c r="M4" s="15" t="s">
        <v>4</v>
      </c>
      <c r="N4" s="16" t="s">
        <v>5</v>
      </c>
      <c r="O4" s="16" t="s">
        <v>6</v>
      </c>
      <c r="P4" s="16" t="s">
        <v>7</v>
      </c>
      <c r="Q4" s="17" t="s">
        <v>8</v>
      </c>
      <c r="R4" s="18" t="s">
        <v>9</v>
      </c>
      <c r="S4" s="19" t="s">
        <v>10</v>
      </c>
      <c r="T4" s="19" t="s">
        <v>11</v>
      </c>
      <c r="U4" s="20" t="s">
        <v>12</v>
      </c>
      <c r="V4" s="21" t="s">
        <v>13</v>
      </c>
      <c r="W4" s="21" t="s">
        <v>14</v>
      </c>
      <c r="X4" s="21" t="s">
        <v>15</v>
      </c>
      <c r="Y4" s="21" t="s">
        <v>16</v>
      </c>
      <c r="Z4" s="21" t="s">
        <v>17</v>
      </c>
      <c r="AA4" s="22" t="s">
        <v>18</v>
      </c>
      <c r="AB4" s="23" t="s">
        <v>5</v>
      </c>
      <c r="AC4" s="24" t="s">
        <v>8</v>
      </c>
    </row>
    <row r="5" ht="22" customHeight="1" spans="2:29" x14ac:dyDescent="0.25">
      <c r="B5" s="25" t="s">
        <v>19</v>
      </c>
      <c r="C5" s="26"/>
      <c r="D5" s="27"/>
      <c r="E5" s="28" t="s">
        <v>20</v>
      </c>
      <c r="F5" s="29"/>
      <c r="G5" s="30"/>
      <c r="H5" s="31" t="s">
        <v>21</v>
      </c>
      <c r="I5" s="32"/>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22</v>
      </c>
      <c r="C6" s="40"/>
      <c r="D6" s="27"/>
      <c r="E6" s="41" t="s">
        <v>23</v>
      </c>
      <c r="F6" s="29"/>
      <c r="G6" s="30"/>
      <c r="H6" s="42" t="s">
        <v>24</v>
      </c>
      <c r="I6" s="29"/>
      <c r="J6" s="43"/>
    </row>
    <row r="7" ht="22" customHeight="1" spans="2:10" x14ac:dyDescent="0.25">
      <c r="B7" s="25" t="s">
        <v>25</v>
      </c>
      <c r="C7" s="29"/>
      <c r="D7" s="27"/>
      <c r="E7" s="41" t="s">
        <v>26</v>
      </c>
      <c r="F7" s="44" t="str">
        <f>AA5</f>
        <v>REJECTED</v>
      </c>
      <c r="G7" s="30"/>
      <c r="H7" s="45" t="s">
        <v>27</v>
      </c>
      <c r="I7" s="46"/>
      <c r="J7" s="47"/>
    </row>
    <row r="8" ht="22" customHeight="1" spans="2:10" x14ac:dyDescent="0.25">
      <c r="B8" s="48" t="s">
        <v>28</v>
      </c>
      <c r="C8" s="49"/>
      <c r="D8" s="50"/>
      <c r="E8" s="51" t="s">
        <v>29</v>
      </c>
      <c r="F8" s="52" t="str">
        <f>IF(AB5,IF(AC5,"HTML/CSS &amp; NFR ","HTML/CSS"),IF(AC5,"NFR","No trainings required"))</f>
        <v>No trainings required</v>
      </c>
      <c r="G8" s="53"/>
      <c r="H8" s="54"/>
      <c r="I8" s="55"/>
      <c r="J8" s="56"/>
    </row>
    <row r="9" ht="33" customHeight="1" spans="2:10" x14ac:dyDescent="0.25">
      <c r="B9" s="57" t="s">
        <v>30</v>
      </c>
      <c r="C9" s="58"/>
      <c r="D9" s="59"/>
      <c r="E9" s="59"/>
      <c r="F9" s="59"/>
      <c r="G9" s="59"/>
      <c r="H9" s="59"/>
      <c r="I9" s="59"/>
      <c r="J9" s="60"/>
    </row>
    <row r="10" ht="33" customHeight="1" spans="2:10" x14ac:dyDescent="0.25">
      <c r="B10" s="61" t="s">
        <v>31</v>
      </c>
      <c r="C10" s="62"/>
      <c r="D10" s="63"/>
      <c r="E10" s="63"/>
      <c r="F10" s="63"/>
      <c r="G10" s="63"/>
      <c r="H10" s="63"/>
      <c r="I10" s="63"/>
      <c r="J10" s="64"/>
    </row>
    <row r="11" ht="72" customHeight="1" spans="2:10" x14ac:dyDescent="0.25">
      <c r="B11" s="65" t="s">
        <v>32</v>
      </c>
      <c r="C11" s="66" t="s">
        <v>33</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34</v>
      </c>
      <c r="C12" s="71" t="s">
        <v>35</v>
      </c>
      <c r="D12" s="72"/>
      <c r="E12" s="73"/>
      <c r="F12" s="74" t="s">
        <v>36</v>
      </c>
      <c r="G12" s="75" t="s">
        <v>37</v>
      </c>
      <c r="H12" s="76"/>
      <c r="I12" s="76"/>
      <c r="J12" s="77"/>
    </row>
    <row r="13" ht="40" customHeight="1" spans="2:12" x14ac:dyDescent="0.25">
      <c r="B13" s="78" t="s">
        <v>38</v>
      </c>
      <c r="C13" s="79"/>
      <c r="D13" s="79"/>
      <c r="E13" s="79"/>
      <c r="F13" s="79"/>
      <c r="G13" s="80"/>
      <c r="H13" s="80"/>
      <c r="I13" s="81" t="s">
        <v>39</v>
      </c>
      <c r="J13" s="82">
        <f>AVERAGE(K14:K19)/3*100</f>
        <v>0</v>
      </c>
      <c r="K13" s="83"/>
      <c r="L13" t="str">
        <f>IF(J13&lt;10, "No Experience", "SAL2")</f>
        <v>No Experience</v>
      </c>
    </row>
    <row r="14" ht="55" customHeight="1" spans="2:11" x14ac:dyDescent="0.25">
      <c r="B14" s="84" t="s">
        <v>4</v>
      </c>
      <c r="C14" s="85" t="s">
        <v>40</v>
      </c>
      <c r="D14" s="86"/>
      <c r="E14" s="87"/>
      <c r="F14" s="88" t="s">
        <v>41</v>
      </c>
      <c r="G14" s="89"/>
      <c r="H14" s="90"/>
      <c r="I14" s="90"/>
      <c r="J14" s="91"/>
      <c r="K14">
        <f>VLOOKUP(F14,Data!$D$3:$G$7,4,FALSE)</f>
        <v>0</v>
      </c>
    </row>
    <row r="15" ht="36" customHeight="1" spans="2:11" x14ac:dyDescent="0.25">
      <c r="B15" s="92"/>
      <c r="C15" s="85" t="s">
        <v>42</v>
      </c>
      <c r="D15" s="86"/>
      <c r="E15" s="87"/>
      <c r="F15" s="88" t="s">
        <v>41</v>
      </c>
      <c r="G15" s="93"/>
      <c r="H15" s="94"/>
      <c r="I15" s="94"/>
      <c r="J15" s="95"/>
      <c r="K15">
        <f>VLOOKUP(F15,Data!$D$3:$G$7,4,FALSE)</f>
        <v>0</v>
      </c>
    </row>
    <row r="16" ht="37" customHeight="1" spans="2:11" x14ac:dyDescent="0.25">
      <c r="B16" s="92"/>
      <c r="C16" s="85" t="s">
        <v>43</v>
      </c>
      <c r="D16" s="86"/>
      <c r="E16" s="87"/>
      <c r="F16" s="88" t="s">
        <v>41</v>
      </c>
      <c r="G16" s="93"/>
      <c r="H16" s="94"/>
      <c r="I16" s="94"/>
      <c r="J16" s="95"/>
      <c r="K16">
        <f>VLOOKUP(F16,Data!$D$3:$G$7,4,FALSE)</f>
        <v>0</v>
      </c>
    </row>
    <row r="17" ht="51" customHeight="1" spans="2:11" x14ac:dyDescent="0.25">
      <c r="B17" s="92"/>
      <c r="C17" s="96" t="s">
        <v>44</v>
      </c>
      <c r="D17" s="97"/>
      <c r="E17" s="98"/>
      <c r="F17" s="88" t="s">
        <v>41</v>
      </c>
      <c r="G17" s="93"/>
      <c r="H17" s="94"/>
      <c r="I17" s="94"/>
      <c r="J17" s="95"/>
      <c r="K17">
        <f>VLOOKUP(F17,Data!$D$3:$G$7,4,FALSE)</f>
        <v>0</v>
      </c>
    </row>
    <row r="18" ht="40" customHeight="1" spans="2:11" x14ac:dyDescent="0.25">
      <c r="B18" s="92"/>
      <c r="C18" s="85" t="s">
        <v>45</v>
      </c>
      <c r="D18" s="86"/>
      <c r="E18" s="87"/>
      <c r="F18" s="88" t="s">
        <v>41</v>
      </c>
      <c r="G18" s="99"/>
      <c r="H18" s="100"/>
      <c r="I18" s="100"/>
      <c r="J18" s="101"/>
      <c r="K18">
        <f>VLOOKUP(F18,Data!$D$3:$G$7,4,FALSE)</f>
        <v>0</v>
      </c>
    </row>
    <row r="19" ht="86" customHeight="1" spans="2:11" x14ac:dyDescent="0.25">
      <c r="B19" s="102" t="s">
        <v>46</v>
      </c>
      <c r="C19" s="103" t="s">
        <v>47</v>
      </c>
      <c r="D19" s="104"/>
      <c r="E19" s="105"/>
      <c r="F19" s="88" t="s">
        <v>41</v>
      </c>
      <c r="G19" s="106"/>
      <c r="H19" s="107"/>
      <c r="I19" s="107"/>
      <c r="J19" s="108"/>
      <c r="K19">
        <f>VLOOKUP(F19,Data!$D$3:$G$7,4,FALSE)</f>
        <v>0</v>
      </c>
    </row>
    <row r="20" ht="40" customHeight="1" spans="2:14" x14ac:dyDescent="0.25">
      <c r="B20" s="78" t="s">
        <v>48</v>
      </c>
      <c r="C20" s="109"/>
      <c r="D20" s="109"/>
      <c r="E20" s="109"/>
      <c r="F20" s="110"/>
      <c r="G20" s="111"/>
      <c r="H20" s="111"/>
      <c r="I20" s="112" t="s">
        <v>39</v>
      </c>
      <c r="J20" s="113">
        <f>AVERAGE(K21:K26)/3*100</f>
        <v>0</v>
      </c>
      <c r="K20" s="83"/>
      <c r="L20" s="83" t="str">
        <f>IF(J20&lt;30,"Rejected",IF(J20&lt;40,"AL1",IF(J20&lt;60,"AL2",IF(J20&lt;70,"SAL1","SAL2"))))</f>
        <v>Rejected</v>
      </c>
      <c r="M20" s="83"/>
      <c r="N20" s="83"/>
    </row>
    <row r="21" ht="18" customHeight="1" spans="2:11" x14ac:dyDescent="0.25">
      <c r="B21" s="114" t="s">
        <v>49</v>
      </c>
      <c r="C21" s="96" t="s">
        <v>50</v>
      </c>
      <c r="D21" s="97"/>
      <c r="E21" s="98"/>
      <c r="F21" s="88" t="s">
        <v>41</v>
      </c>
      <c r="G21" s="89"/>
      <c r="H21" s="90"/>
      <c r="I21" s="90"/>
      <c r="J21" s="91"/>
      <c r="K21">
        <f>VLOOKUP(F21,Data!$F$3:$G$7,2,FALSE)</f>
        <v>0</v>
      </c>
    </row>
    <row r="22" ht="41" customHeight="1" spans="2:11" x14ac:dyDescent="0.25">
      <c r="B22" s="115"/>
      <c r="C22" s="96" t="s">
        <v>51</v>
      </c>
      <c r="D22" s="97"/>
      <c r="E22" s="98"/>
      <c r="F22" s="88" t="s">
        <v>41</v>
      </c>
      <c r="G22" s="93"/>
      <c r="H22" s="94"/>
      <c r="I22" s="94"/>
      <c r="J22" s="95"/>
      <c r="K22">
        <f>VLOOKUP(F22,Data!$F$3:$G$7,2,FALSE)</f>
        <v>0</v>
      </c>
    </row>
    <row r="23" ht="38" customHeight="1" spans="2:11" x14ac:dyDescent="0.25">
      <c r="B23" s="116"/>
      <c r="C23" s="96" t="s">
        <v>52</v>
      </c>
      <c r="D23" s="97"/>
      <c r="E23" s="98"/>
      <c r="F23" s="88" t="s">
        <v>41</v>
      </c>
      <c r="G23" s="99"/>
      <c r="H23" s="100"/>
      <c r="I23" s="100"/>
      <c r="J23" s="101"/>
      <c r="K23">
        <f>VLOOKUP(F23,Data!$F$3:$G$7,2,FALSE)</f>
        <v>0</v>
      </c>
    </row>
    <row r="24" ht="39" customHeight="1" spans="2:11" x14ac:dyDescent="0.25">
      <c r="B24" s="117" t="s">
        <v>53</v>
      </c>
      <c r="C24" s="118" t="s">
        <v>54</v>
      </c>
      <c r="D24" s="119"/>
      <c r="E24" s="120"/>
      <c r="F24" s="121" t="s">
        <v>41</v>
      </c>
      <c r="G24" s="90"/>
      <c r="H24" s="90"/>
      <c r="I24" s="90"/>
      <c r="J24" s="91"/>
      <c r="K24">
        <f>VLOOKUP(F24,Data!$F$3:$G$7,2,FALSE)</f>
        <v>0</v>
      </c>
    </row>
    <row r="25" ht="55" customHeight="1" spans="2:11" x14ac:dyDescent="0.25">
      <c r="B25" s="117"/>
      <c r="C25" s="118" t="s">
        <v>55</v>
      </c>
      <c r="D25" s="119"/>
      <c r="E25" s="120"/>
      <c r="F25" s="121" t="s">
        <v>41</v>
      </c>
      <c r="G25" s="94"/>
      <c r="H25" s="94"/>
      <c r="I25" s="94"/>
      <c r="J25" s="95"/>
      <c r="K25">
        <f>VLOOKUP(F25,Data!$F$3:$G$7,2,FALSE)</f>
        <v>0</v>
      </c>
    </row>
    <row r="26" ht="54" customHeight="1" spans="2:11" x14ac:dyDescent="0.25">
      <c r="B26" s="122"/>
      <c r="C26" s="118" t="s">
        <v>56</v>
      </c>
      <c r="D26" s="119"/>
      <c r="E26" s="120"/>
      <c r="F26" s="121" t="s">
        <v>41</v>
      </c>
      <c r="G26" s="100"/>
      <c r="H26" s="100"/>
      <c r="I26" s="100"/>
      <c r="J26" s="101"/>
      <c r="K26">
        <f>VLOOKUP(F26,Data!$F$3:$G$7,2,FALSE)</f>
        <v>0</v>
      </c>
    </row>
    <row r="27" ht="40" customHeight="1" spans="2:12" x14ac:dyDescent="0.25">
      <c r="B27" s="123" t="s">
        <v>57</v>
      </c>
      <c r="C27" s="124"/>
      <c r="D27" s="124"/>
      <c r="E27" s="124"/>
      <c r="F27" s="124"/>
      <c r="G27" s="125"/>
      <c r="H27" s="125"/>
      <c r="I27" s="126" t="s">
        <v>39</v>
      </c>
      <c r="J27" s="127">
        <f>(SUM(K28:K34)/(5*3))*100</f>
        <v>0</v>
      </c>
      <c r="K27" s="83"/>
      <c r="L27" s="83" t="str">
        <f>IF(J27&lt;40,"Rejected",IF(J27&lt;60,"Associate",IF(J27&lt;70,"SAL1",IF(K31&gt;=1,"SAL2","SAL1"))))</f>
        <v>Rejected</v>
      </c>
    </row>
    <row r="28" ht="89" customHeight="1" spans="2:11" x14ac:dyDescent="0.25">
      <c r="B28" s="114" t="s">
        <v>58</v>
      </c>
      <c r="C28" s="103" t="s">
        <v>59</v>
      </c>
      <c r="D28" s="104"/>
      <c r="E28" s="105"/>
      <c r="F28" s="121" t="s">
        <v>41</v>
      </c>
      <c r="G28" s="89"/>
      <c r="H28" s="90"/>
      <c r="I28" s="90"/>
      <c r="J28" s="91"/>
      <c r="K28">
        <f>VLOOKUP(F28,Data!$F$3:$G$7,2,FALSE)</f>
        <v>0</v>
      </c>
    </row>
    <row r="29" ht="102" customHeight="1" spans="2:11" x14ac:dyDescent="0.25">
      <c r="B29" s="115"/>
      <c r="C29" s="103" t="s">
        <v>60</v>
      </c>
      <c r="D29" s="104"/>
      <c r="E29" s="105"/>
      <c r="F29" s="121" t="s">
        <v>41</v>
      </c>
      <c r="G29" s="99"/>
      <c r="H29" s="100"/>
      <c r="I29" s="100"/>
      <c r="J29" s="101"/>
      <c r="K29">
        <f>VLOOKUP(F29,Data!$F$3:$G$7,2,FALSE)</f>
        <v>0</v>
      </c>
    </row>
    <row r="30" ht="134" customHeight="1" spans="2:11" x14ac:dyDescent="0.25">
      <c r="B30" s="115"/>
      <c r="C30" s="103" t="s">
        <v>61</v>
      </c>
      <c r="D30" s="104"/>
      <c r="E30" s="105"/>
      <c r="F30" s="88" t="s">
        <v>41</v>
      </c>
      <c r="G30" s="106"/>
      <c r="H30" s="107"/>
      <c r="I30" s="107"/>
      <c r="J30" s="108"/>
      <c r="K30">
        <f>VLOOKUP(F30,Data!$D$3:$G$7,4,FALSE)</f>
        <v>0</v>
      </c>
    </row>
    <row r="31" ht="109" customHeight="1" spans="2:11" x14ac:dyDescent="0.25">
      <c r="B31" s="116"/>
      <c r="C31" s="103" t="s">
        <v>62</v>
      </c>
      <c r="D31" s="104"/>
      <c r="E31" s="105"/>
      <c r="F31" s="88" t="s">
        <v>41</v>
      </c>
      <c r="G31" s="106"/>
      <c r="H31" s="107"/>
      <c r="I31" s="107"/>
      <c r="J31" s="108"/>
      <c r="K31">
        <f>VLOOKUP(F31,Data!$D$3:$G$7,4,FALSE)</f>
        <v>0</v>
      </c>
    </row>
    <row r="32" ht="70" customHeight="1" spans="2:11" x14ac:dyDescent="0.25">
      <c r="B32" s="114" t="s">
        <v>63</v>
      </c>
      <c r="C32" s="104" t="s">
        <v>64</v>
      </c>
      <c r="D32" s="104"/>
      <c r="E32" s="105"/>
      <c r="F32" s="121" t="s">
        <v>41</v>
      </c>
      <c r="G32" s="106"/>
      <c r="H32" s="107"/>
      <c r="I32" s="107"/>
      <c r="J32" s="108"/>
      <c r="K32">
        <f>VLOOKUP(F32,Data!$F$3:$G$7,2,FALSE)/3</f>
        <v>0</v>
      </c>
    </row>
    <row r="33" ht="49" customHeight="1" spans="2:11" x14ac:dyDescent="0.25">
      <c r="B33" s="115"/>
      <c r="C33" s="104" t="s">
        <v>65</v>
      </c>
      <c r="D33" s="104"/>
      <c r="E33" s="105"/>
      <c r="F33" s="121" t="s">
        <v>41</v>
      </c>
      <c r="G33" s="106"/>
      <c r="H33" s="107"/>
      <c r="I33" s="107"/>
      <c r="J33" s="108"/>
      <c r="K33">
        <f>VLOOKUP(F33,Data!$F$3:$G$7,2,FALSE)/3</f>
        <v>0</v>
      </c>
    </row>
    <row r="34" ht="65" customHeight="1" spans="2:11" x14ac:dyDescent="0.25">
      <c r="B34" s="116"/>
      <c r="C34" s="104" t="s">
        <v>66</v>
      </c>
      <c r="D34" s="104"/>
      <c r="E34" s="105"/>
      <c r="F34" s="88" t="s">
        <v>41</v>
      </c>
      <c r="G34" s="106"/>
      <c r="H34" s="107"/>
      <c r="I34" s="107"/>
      <c r="J34" s="108"/>
      <c r="K34">
        <f>VLOOKUP(F34,Data!$D$3:$G$7,4,FALSE)/3</f>
        <v>0</v>
      </c>
    </row>
    <row r="35" ht="40" customHeight="1" spans="2:12" x14ac:dyDescent="0.25">
      <c r="B35" s="128" t="s">
        <v>67</v>
      </c>
      <c r="C35" s="124"/>
      <c r="D35" s="124"/>
      <c r="E35" s="124"/>
      <c r="F35" s="124"/>
      <c r="G35" s="125"/>
      <c r="H35" s="125"/>
      <c r="I35" s="126" t="s">
        <v>39</v>
      </c>
      <c r="J35" s="127">
        <f>AVERAGE(K36:K37)/3*100</f>
        <v>0</v>
      </c>
      <c r="K35" s="83"/>
      <c r="L35" s="83" t="str">
        <f>IF(J35&lt;30,"-","SAL2")</f>
        <v>-</v>
      </c>
    </row>
    <row r="36" ht="37" customHeight="1" spans="2:14" x14ac:dyDescent="0.25">
      <c r="B36" s="102" t="s">
        <v>68</v>
      </c>
      <c r="C36" s="103" t="s">
        <v>69</v>
      </c>
      <c r="D36" s="104"/>
      <c r="E36" s="105"/>
      <c r="F36" s="88" t="s">
        <v>41</v>
      </c>
      <c r="G36" s="89"/>
      <c r="H36" s="90"/>
      <c r="I36" s="90"/>
      <c r="J36" s="91"/>
      <c r="K36">
        <f>VLOOKUP(F36,Data!$D$3:$G$7,4,FALSE)</f>
        <v>0</v>
      </c>
      <c r="N36" s="83"/>
    </row>
    <row r="37" ht="86" customHeight="1" spans="2:11" x14ac:dyDescent="0.25">
      <c r="B37" s="102" t="s">
        <v>70</v>
      </c>
      <c r="C37" s="103" t="s">
        <v>71</v>
      </c>
      <c r="D37" s="104"/>
      <c r="E37" s="105"/>
      <c r="F37" s="88" t="s">
        <v>41</v>
      </c>
      <c r="G37" s="99"/>
      <c r="H37" s="100"/>
      <c r="I37" s="100"/>
      <c r="J37" s="101"/>
      <c r="K37">
        <f>VLOOKUP(F37,Data!$D$3:$G$7,4,FALSE)</f>
        <v>0</v>
      </c>
    </row>
    <row r="38" ht="40" customHeight="1" spans="2:12" x14ac:dyDescent="0.25">
      <c r="B38" s="123" t="s">
        <v>72</v>
      </c>
      <c r="C38" s="124"/>
      <c r="D38" s="124"/>
      <c r="E38" s="124"/>
      <c r="F38" s="124"/>
      <c r="G38" s="125"/>
      <c r="H38" s="125"/>
      <c r="I38" s="126" t="s">
        <v>39</v>
      </c>
      <c r="J38" s="127">
        <f>AVERAGE(K39:K41)/3*100</f>
        <v>0</v>
      </c>
      <c r="K38" s="83"/>
      <c r="L38" s="83" t="str">
        <f>IF(J38&lt;10,"No Experience",IF(J38&lt;20,"Associate","SAL2"))</f>
        <v>No Experience</v>
      </c>
    </row>
    <row r="39" ht="155" customHeight="1" spans="2:11" x14ac:dyDescent="0.25">
      <c r="B39" s="102" t="s">
        <v>73</v>
      </c>
      <c r="C39" s="129" t="s">
        <v>74</v>
      </c>
      <c r="D39" s="130"/>
      <c r="E39" s="131"/>
      <c r="F39" s="88" t="s">
        <v>41</v>
      </c>
      <c r="G39" s="106"/>
      <c r="H39" s="107"/>
      <c r="I39" s="107"/>
      <c r="J39" s="108"/>
      <c r="K39">
        <f>VLOOKUP(F39,Data!$D$3:$G$7,4,FALSE)</f>
        <v>0</v>
      </c>
    </row>
    <row r="40" ht="54" customHeight="1" spans="2:11" x14ac:dyDescent="0.25">
      <c r="B40" s="102" t="s">
        <v>75</v>
      </c>
      <c r="C40" s="129" t="s">
        <v>76</v>
      </c>
      <c r="D40" s="130"/>
      <c r="E40" s="131"/>
      <c r="F40" s="88" t="s">
        <v>41</v>
      </c>
      <c r="G40" s="106"/>
      <c r="H40" s="107"/>
      <c r="I40" s="107"/>
      <c r="J40" s="108"/>
      <c r="K40">
        <f>VLOOKUP(F40,Data!$D$3:$G$7,4,FALSE)</f>
        <v>0</v>
      </c>
    </row>
    <row r="41" ht="103" customHeight="1" spans="2:11" x14ac:dyDescent="0.25">
      <c r="B41" s="102" t="s">
        <v>77</v>
      </c>
      <c r="C41" s="132" t="s">
        <v>78</v>
      </c>
      <c r="D41" s="130"/>
      <c r="E41" s="131"/>
      <c r="F41" s="88" t="s">
        <v>41</v>
      </c>
      <c r="G41" s="106"/>
      <c r="H41" s="107"/>
      <c r="I41" s="107"/>
      <c r="J41" s="108"/>
      <c r="K41">
        <f>VLOOKUP(F41,Data!$D$3:$G$7,4,FALSE)</f>
        <v>0</v>
      </c>
    </row>
    <row r="42" ht="40" customHeight="1" spans="2:10" x14ac:dyDescent="0.25">
      <c r="B42" s="123" t="s">
        <v>79</v>
      </c>
      <c r="C42" s="124"/>
      <c r="D42" s="124"/>
      <c r="E42" s="124"/>
      <c r="F42" s="124"/>
      <c r="G42" s="124"/>
      <c r="H42" s="124"/>
      <c r="I42" s="124"/>
      <c r="J42" s="133"/>
    </row>
    <row r="43" ht="57" customHeight="1" spans="2:10" x14ac:dyDescent="0.25">
      <c r="B43" s="134" t="s">
        <v>80</v>
      </c>
      <c r="C43" s="129" t="s">
        <v>81</v>
      </c>
      <c r="D43" s="131"/>
      <c r="E43" s="135" t="s">
        <v>82</v>
      </c>
      <c r="F43" s="136" t="s">
        <v>83</v>
      </c>
      <c r="G43" s="106"/>
      <c r="H43" s="107"/>
      <c r="I43" s="107"/>
      <c r="J43" s="108"/>
    </row>
    <row r="44" ht="22" customHeight="1" spans="2:10" x14ac:dyDescent="0.25">
      <c r="B44" s="137" t="s">
        <v>84</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67" t="s">
        <v>18</v>
      </c>
      <c r="C2" s="167" t="s">
        <v>138</v>
      </c>
      <c r="D2" s="167" t="s">
        <v>139</v>
      </c>
      <c r="E2" s="167" t="s">
        <v>140</v>
      </c>
      <c r="F2" s="167" t="s">
        <v>141</v>
      </c>
      <c r="G2" s="167" t="s">
        <v>142</v>
      </c>
      <c r="H2" s="167" t="s">
        <v>143</v>
      </c>
      <c r="I2" s="167" t="s">
        <v>144</v>
      </c>
      <c r="J2" s="167" t="s">
        <v>145</v>
      </c>
    </row>
    <row r="3" spans="2:10" x14ac:dyDescent="0.25">
      <c r="B3" t="s">
        <v>146</v>
      </c>
      <c r="C3" t="s">
        <v>87</v>
      </c>
      <c r="D3" t="s">
        <v>41</v>
      </c>
      <c r="E3" s="168" t="s">
        <v>147</v>
      </c>
      <c r="F3" t="s">
        <v>41</v>
      </c>
      <c r="G3">
        <v>0</v>
      </c>
      <c r="H3" t="s">
        <v>5</v>
      </c>
      <c r="I3" t="s">
        <v>148</v>
      </c>
      <c r="J3" t="s">
        <v>92</v>
      </c>
    </row>
    <row r="4" spans="2:9" x14ac:dyDescent="0.25">
      <c r="B4" t="s">
        <v>149</v>
      </c>
      <c r="C4" t="s">
        <v>150</v>
      </c>
      <c r="D4" t="s">
        <v>151</v>
      </c>
      <c r="E4" t="s">
        <v>152</v>
      </c>
      <c r="F4" t="s">
        <v>151</v>
      </c>
      <c r="G4">
        <v>0</v>
      </c>
      <c r="H4" t="s">
        <v>8</v>
      </c>
      <c r="I4" t="s">
        <v>153</v>
      </c>
    </row>
    <row r="5" spans="2:8" x14ac:dyDescent="0.25">
      <c r="B5" t="s">
        <v>96</v>
      </c>
      <c r="C5" t="s">
        <v>154</v>
      </c>
      <c r="D5" t="s">
        <v>155</v>
      </c>
      <c r="E5" t="s">
        <v>156</v>
      </c>
      <c r="F5" t="s">
        <v>157</v>
      </c>
      <c r="G5">
        <v>1</v>
      </c>
      <c r="H5" t="s">
        <v>158</v>
      </c>
    </row>
    <row r="6" spans="2:7" x14ac:dyDescent="0.25">
      <c r="B6" t="s">
        <v>159</v>
      </c>
      <c r="D6" t="s">
        <v>160</v>
      </c>
      <c r="F6" t="s">
        <v>161</v>
      </c>
      <c r="G6">
        <v>2</v>
      </c>
    </row>
    <row r="7" spans="2:7" x14ac:dyDescent="0.25">
      <c r="B7" t="s">
        <v>162</v>
      </c>
      <c r="D7" t="s">
        <v>163</v>
      </c>
      <c r="F7" t="s">
        <v>103</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184</v>
      </c>
      <c r="B1" t="s">
        <v>185</v>
      </c>
    </row>
    <row r="2" spans="1:2" x14ac:dyDescent="0.25">
      <c r="A2" t="s">
        <v>186</v>
      </c>
      <c r="B2" t="s">
        <v>187</v>
      </c>
    </row>
    <row r="3" spans="1:2" x14ac:dyDescent="0.25">
      <c r="A3" t="s">
        <v>188</v>
      </c>
      <c r="B3" t="s">
        <v>189</v>
      </c>
    </row>
    <row r="4" spans="1:2" x14ac:dyDescent="0.25">
      <c r="A4" t="s">
        <v>190</v>
      </c>
      <c r="B4" t="s">
        <v>191</v>
      </c>
    </row>
    <row r="5" spans="1:2" x14ac:dyDescent="0.25">
      <c r="A5" t="s">
        <v>192</v>
      </c>
      <c r="B5" t="s">
        <v>193</v>
      </c>
    </row>
    <row r="6" spans="1:2" x14ac:dyDescent="0.25">
      <c r="A6" t="s">
        <v>194</v>
      </c>
      <c r="B6" t="s">
        <v>195</v>
      </c>
    </row>
    <row r="7" spans="1:2" x14ac:dyDescent="0.25">
      <c r="A7" t="s">
        <v>196</v>
      </c>
      <c r="B7" t="s">
        <v>197</v>
      </c>
    </row>
    <row r="8" spans="1:2" x14ac:dyDescent="0.25">
      <c r="A8" t="s">
        <v>198</v>
      </c>
      <c r="B8" t="s">
        <v>199</v>
      </c>
    </row>
    <row r="9" spans="1:2" x14ac:dyDescent="0.25">
      <c r="A9" t="s">
        <v>200</v>
      </c>
      <c r="B9" t="s">
        <v>201</v>
      </c>
    </row>
    <row r="10" spans="1:2" x14ac:dyDescent="0.25">
      <c r="A10" t="s">
        <v>202</v>
      </c>
      <c r="B10" t="s">
        <v>203</v>
      </c>
    </row>
    <row r="11" spans="1:2" x14ac:dyDescent="0.25">
      <c r="A11" t="s">
        <v>204</v>
      </c>
      <c r="B11" t="s">
        <v>205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85</v>
      </c>
      <c r="D4" s="140"/>
      <c r="E4" s="10" t="s">
        <v>2</v>
      </c>
      <c r="F4" s="11" t="s">
        <v>86</v>
      </c>
      <c r="G4" s="141"/>
      <c r="H4" s="13" t="s">
        <v>3</v>
      </c>
      <c r="I4" s="8" t="s">
        <v>87</v>
      </c>
      <c r="J4" s="14"/>
      <c r="M4" s="15" t="s">
        <v>88</v>
      </c>
      <c r="N4" s="16" t="s">
        <v>89</v>
      </c>
      <c r="O4" s="16" t="s">
        <v>90</v>
      </c>
      <c r="P4" s="16" t="s">
        <v>91</v>
      </c>
      <c r="Q4" s="21" t="s">
        <v>13</v>
      </c>
      <c r="R4" s="21" t="s">
        <v>14</v>
      </c>
      <c r="S4" s="21" t="s">
        <v>15</v>
      </c>
      <c r="T4" s="21" t="s">
        <v>16</v>
      </c>
      <c r="U4" s="21" t="s">
        <v>17</v>
      </c>
      <c r="V4" s="22" t="s">
        <v>18</v>
      </c>
      <c r="W4" s="24" t="s">
        <v>92</v>
      </c>
    </row>
    <row r="5" ht="22" customHeight="1" spans="2:23" x14ac:dyDescent="0.25">
      <c r="B5" s="25" t="s">
        <v>19</v>
      </c>
      <c r="C5" s="26" t="s">
        <v>93</v>
      </c>
      <c r="D5" s="27"/>
      <c r="E5" s="28" t="s">
        <v>20</v>
      </c>
      <c r="F5" s="29" t="s">
        <v>94</v>
      </c>
      <c r="G5" s="30"/>
      <c r="H5" s="31" t="s">
        <v>21</v>
      </c>
      <c r="I5" s="32" t="s">
        <v>87</v>
      </c>
      <c r="J5" s="33"/>
      <c r="M5" s="142" t="str">
        <f>L13</f>
        <v>SAL1</v>
      </c>
      <c r="N5" s="34" t="str">
        <f>L21</f>
        <v>SAL2</v>
      </c>
      <c r="O5" s="34" t="str">
        <f>L30</f>
        <v>-</v>
      </c>
      <c r="P5" s="34" t="str">
        <f>L37</f>
        <v>-</v>
      </c>
      <c r="Q5" s="36" t="b">
        <f>OR(M5="Rejected",N5="Rejected")</f>
        <v>0</v>
      </c>
      <c r="R5" s="36" t="b">
        <f>AND(NOT(Q5),M5="SAL2",N5&lt;&gt;"Associate")</f>
        <v>0</v>
      </c>
      <c r="S5" s="36" t="b">
        <f>AND(NOT(Q5),NOT(R5),OR(M5="SAL1",M5="SAL2"),OR(N5&lt;&gt;"Associate",AND(N5="Associate",OR(O5&lt;&gt;"-",P5&lt;&gt;"-"))))</f>
        <v>1</v>
      </c>
      <c r="T5" s="36" t="b">
        <f>AND(NOT(Q5),NOT(R5),NOT(S5),M5="Associate",N5="Associate",O5="-", P5="-")</f>
        <v>0</v>
      </c>
      <c r="U5" s="36" t="b">
        <f>AND(NOT(Q5),NOT(R5),NOT(S2),NOT(T2))</f>
        <v>1</v>
      </c>
      <c r="V5" s="37" t="str">
        <f>IF(Q5,"REJECTED",IF(R5,"Lead Experience Engineer",IF(S5,"Senior Experience Engineer",IF(T5,"Experience Engineer L1",IF(U5,"Experience Engineer L2","Thinking")))))</f>
        <v>Senior Experience Engineer</v>
      </c>
      <c r="W5" s="39" t="b">
        <f>AND(V5="SAL1",F2="Associate")</f>
        <v>0</v>
      </c>
    </row>
    <row r="6" ht="22" customHeight="1" spans="2:10" x14ac:dyDescent="0.25">
      <c r="B6" s="25" t="s">
        <v>22</v>
      </c>
      <c r="C6" s="40">
        <v>5</v>
      </c>
      <c r="D6" s="27"/>
      <c r="E6" s="41" t="s">
        <v>23</v>
      </c>
      <c r="F6" s="29" t="s">
        <v>95</v>
      </c>
      <c r="G6" s="30"/>
      <c r="H6" s="42" t="s">
        <v>24</v>
      </c>
      <c r="I6" s="29" t="s">
        <v>96</v>
      </c>
      <c r="J6" s="43"/>
    </row>
    <row r="7" ht="22" customHeight="1" spans="2:10" x14ac:dyDescent="0.25">
      <c r="B7" s="25" t="s">
        <v>25</v>
      </c>
      <c r="C7" s="29">
        <v>3</v>
      </c>
      <c r="D7" s="27"/>
      <c r="E7" s="41" t="s">
        <v>26</v>
      </c>
      <c r="F7" s="143" t="str">
        <f>V5</f>
        <v>Senior Experience Engineer</v>
      </c>
      <c r="G7" s="30"/>
      <c r="H7" s="45" t="s">
        <v>27</v>
      </c>
      <c r="I7" s="46"/>
      <c r="J7" s="47"/>
    </row>
    <row r="8" ht="22" customHeight="1" spans="2:10" x14ac:dyDescent="0.25">
      <c r="B8" s="48" t="s">
        <v>28</v>
      </c>
      <c r="C8" s="49" t="s">
        <v>96</v>
      </c>
      <c r="D8" s="144"/>
      <c r="E8" s="51" t="s">
        <v>29</v>
      </c>
      <c r="F8" s="52" t="str">
        <f>IF(W5,"React Specialist", "No trainings required")</f>
        <v>No trainings required</v>
      </c>
      <c r="G8" s="145"/>
      <c r="H8" s="54"/>
      <c r="I8" s="55"/>
      <c r="J8" s="56"/>
    </row>
    <row r="9" ht="128" customHeight="1" spans="2:10" x14ac:dyDescent="0.25">
      <c r="B9" s="57" t="s">
        <v>97</v>
      </c>
      <c r="C9" s="58"/>
      <c r="D9" s="59" t="s">
        <v>98</v>
      </c>
      <c r="E9" s="59"/>
      <c r="F9" s="59"/>
      <c r="G9" s="59"/>
      <c r="H9" s="59"/>
      <c r="I9" s="59"/>
      <c r="J9" s="60"/>
    </row>
    <row r="10" ht="68" customHeight="1" spans="2:10" x14ac:dyDescent="0.25">
      <c r="B10" s="146" t="s">
        <v>31</v>
      </c>
      <c r="C10" s="147"/>
      <c r="D10" s="148" t="s">
        <v>99</v>
      </c>
      <c r="E10" s="148"/>
      <c r="F10" s="148"/>
      <c r="G10" s="148"/>
      <c r="H10" s="148"/>
      <c r="I10" s="148"/>
      <c r="J10" s="149"/>
    </row>
    <row r="11" ht="71" customHeight="1" spans="2:10" x14ac:dyDescent="0.25">
      <c r="B11" s="65" t="s">
        <v>32</v>
      </c>
      <c r="C11" s="66" t="s">
        <v>100</v>
      </c>
      <c r="D11" s="150"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150"/>
      <c r="F11" s="150"/>
      <c r="G11" s="150"/>
      <c r="H11" s="150"/>
      <c r="I11" s="150"/>
      <c r="J11" s="151"/>
    </row>
    <row r="12" ht="22" customHeight="1" spans="2:15" s="69" customFormat="1" x14ac:dyDescent="0.25">
      <c r="B12" s="152" t="s">
        <v>34</v>
      </c>
      <c r="C12" s="153" t="s">
        <v>35</v>
      </c>
      <c r="D12" s="154"/>
      <c r="E12" s="155"/>
      <c r="F12" s="156" t="s">
        <v>36</v>
      </c>
      <c r="G12" s="157" t="s">
        <v>37</v>
      </c>
      <c r="H12" s="158"/>
      <c r="I12" s="158"/>
      <c r="J12" s="159"/>
      <c r="N12" s="160"/>
      <c r="O12" s="160"/>
    </row>
    <row r="13" ht="40" customHeight="1" spans="2:13" x14ac:dyDescent="0.25">
      <c r="B13" s="78" t="s">
        <v>101</v>
      </c>
      <c r="C13" s="79"/>
      <c r="D13" s="79"/>
      <c r="E13" s="79"/>
      <c r="F13" s="79"/>
      <c r="G13" s="80"/>
      <c r="H13" s="80"/>
      <c r="I13" s="81" t="s">
        <v>39</v>
      </c>
      <c r="J13" s="82">
        <f>AVERAGE(K14:K20)/3*100</f>
        <v>76.19047619047619</v>
      </c>
      <c r="K13" s="83"/>
      <c r="L13" s="83" t="str">
        <f>IF(J13&lt;60, "Rejected",IF(J13&lt;70,"Associate",IF(J13&lt;80,"SAL1","SAL2")))</f>
        <v>SAL1</v>
      </c>
      <c r="M13" s="83"/>
    </row>
    <row r="14" ht="88" customHeight="1" spans="2:11" x14ac:dyDescent="0.25">
      <c r="B14" s="114" t="s">
        <v>88</v>
      </c>
      <c r="C14" s="85" t="s">
        <v>102</v>
      </c>
      <c r="D14" s="86"/>
      <c r="E14" s="87"/>
      <c r="F14" s="161" t="s">
        <v>103</v>
      </c>
      <c r="G14" s="89" t="s">
        <v>104</v>
      </c>
      <c r="H14" s="90"/>
      <c r="I14" s="90"/>
      <c r="J14" s="91"/>
      <c r="K14">
        <f>VLOOKUP(F14,Data!$F$3:$G$7,2,FALSE)</f>
        <v>3</v>
      </c>
    </row>
    <row r="15" ht="38" customHeight="1" spans="2:11" x14ac:dyDescent="0.25">
      <c r="B15" s="115"/>
      <c r="C15" s="85" t="s">
        <v>105</v>
      </c>
      <c r="D15" s="86"/>
      <c r="E15" s="87"/>
      <c r="F15" s="161" t="s">
        <v>103</v>
      </c>
      <c r="G15" s="93"/>
      <c r="H15" s="94"/>
      <c r="I15" s="94"/>
      <c r="J15" s="95"/>
      <c r="K15">
        <f>VLOOKUP(F15,Data!$F$3:$G$7,2,FALSE)</f>
        <v>3</v>
      </c>
    </row>
    <row r="16" ht="37" customHeight="1" spans="2:11" x14ac:dyDescent="0.25">
      <c r="B16" s="115"/>
      <c r="C16" s="85" t="s">
        <v>106</v>
      </c>
      <c r="D16" s="86"/>
      <c r="E16" s="87"/>
      <c r="F16" s="161" t="s">
        <v>103</v>
      </c>
      <c r="G16" s="93"/>
      <c r="H16" s="94"/>
      <c r="I16" s="94"/>
      <c r="J16" s="95"/>
      <c r="K16">
        <f>VLOOKUP(F16,Data!$F$3:$G$7,2,FALSE)</f>
        <v>3</v>
      </c>
    </row>
    <row r="17" ht="40" customHeight="1" spans="2:11" x14ac:dyDescent="0.25">
      <c r="B17" s="115"/>
      <c r="C17" s="85" t="s">
        <v>107</v>
      </c>
      <c r="D17" s="86"/>
      <c r="E17" s="87"/>
      <c r="F17" s="161" t="s">
        <v>103</v>
      </c>
      <c r="G17" s="93"/>
      <c r="H17" s="94"/>
      <c r="I17" s="94"/>
      <c r="J17" s="95"/>
      <c r="K17">
        <f>VLOOKUP(F17,Data!$F$3:$G$7,2,FALSE)</f>
        <v>3</v>
      </c>
    </row>
    <row r="18" ht="34" customHeight="1" spans="2:11" x14ac:dyDescent="0.25">
      <c r="B18" s="115"/>
      <c r="C18" s="96" t="s">
        <v>108</v>
      </c>
      <c r="D18" s="97"/>
      <c r="E18" s="98"/>
      <c r="F18" s="161" t="s">
        <v>103</v>
      </c>
      <c r="G18" s="93"/>
      <c r="H18" s="94"/>
      <c r="I18" s="94"/>
      <c r="J18" s="95"/>
      <c r="K18">
        <f>VLOOKUP(F18,Data!$F$3:$G$7,2,FALSE)</f>
        <v>3</v>
      </c>
    </row>
    <row r="19" ht="35" customHeight="1" spans="2:11" x14ac:dyDescent="0.25">
      <c r="B19" s="115"/>
      <c r="C19" s="96" t="s">
        <v>109</v>
      </c>
      <c r="D19" s="97"/>
      <c r="E19" s="98"/>
      <c r="F19" s="161" t="s">
        <v>103</v>
      </c>
      <c r="G19" s="93"/>
      <c r="H19" s="94"/>
      <c r="I19" s="94"/>
      <c r="J19" s="95"/>
      <c r="K19">
        <f>VLOOKUP(F19,Data!$F$3:$G$7,2,FALSE)</f>
        <v>1</v>
      </c>
    </row>
    <row r="20" ht="272" customHeight="1" spans="2:11" x14ac:dyDescent="0.25">
      <c r="B20" s="116"/>
      <c r="C20" s="96" t="s">
        <v>110</v>
      </c>
      <c r="D20" s="97"/>
      <c r="E20" s="98"/>
      <c r="F20" s="161" t="s">
        <v>103</v>
      </c>
      <c r="G20" s="99"/>
      <c r="H20" s="100"/>
      <c r="I20" s="100"/>
      <c r="J20" s="101"/>
      <c r="K20">
        <f>VLOOKUP(F20,Data!$F$3:$G$7,2,FALSE)</f>
        <v>0</v>
      </c>
    </row>
    <row r="21" ht="40" customHeight="1" spans="2:16" x14ac:dyDescent="0.25">
      <c r="B21" s="78" t="s">
        <v>111</v>
      </c>
      <c r="C21" s="79"/>
      <c r="D21" s="79"/>
      <c r="E21" s="79"/>
      <c r="F21" s="79"/>
      <c r="G21" s="80"/>
      <c r="H21" s="80"/>
      <c r="I21" s="81" t="s">
        <v>39</v>
      </c>
      <c r="J21" s="82">
        <f>AVERAGE(K22:K29)/3*100</f>
        <v>62.5</v>
      </c>
      <c r="K21" s="83"/>
      <c r="L21" s="83" t="str">
        <f>IF(J21&lt;25,"Rejected",IF(J21&lt;40, "Associate", IF(J21&lt;50,"SAL1","SAL2")))</f>
        <v>SAL2</v>
      </c>
      <c r="M21" s="83"/>
      <c r="N21" s="83"/>
      <c r="O21" s="83"/>
      <c r="P21" s="83"/>
    </row>
    <row r="22" ht="37" customHeight="1" spans="2:11" x14ac:dyDescent="0.25">
      <c r="B22" s="114" t="s">
        <v>112</v>
      </c>
      <c r="C22" s="118" t="s">
        <v>113</v>
      </c>
      <c r="D22" s="119"/>
      <c r="E22" s="120"/>
      <c r="F22" s="161" t="s">
        <v>103</v>
      </c>
      <c r="G22" s="89" t="s">
        <v>114</v>
      </c>
      <c r="H22" s="90"/>
      <c r="I22" s="90"/>
      <c r="J22" s="91"/>
      <c r="K22">
        <f>VLOOKUP(F22,Data!$F$3:$G$7,2,FALSE)</f>
        <v>1</v>
      </c>
    </row>
    <row r="23" ht="56" customHeight="1" spans="2:11" x14ac:dyDescent="0.25">
      <c r="B23" s="115"/>
      <c r="C23" s="118" t="s">
        <v>115</v>
      </c>
      <c r="D23" s="119"/>
      <c r="E23" s="120"/>
      <c r="F23" s="161" t="s">
        <v>103</v>
      </c>
      <c r="G23" s="93"/>
      <c r="H23" s="94"/>
      <c r="I23" s="94"/>
      <c r="J23" s="95"/>
      <c r="K23">
        <f>VLOOKUP(F23,Data!$F$3:$G$7,2,FALSE)</f>
        <v>1</v>
      </c>
    </row>
    <row r="24" ht="41" customHeight="1" spans="2:11" x14ac:dyDescent="0.25">
      <c r="B24" s="115"/>
      <c r="C24" s="118" t="s">
        <v>116</v>
      </c>
      <c r="D24" s="119"/>
      <c r="E24" s="120"/>
      <c r="F24" s="162" t="s">
        <v>103</v>
      </c>
      <c r="G24" s="93"/>
      <c r="H24" s="94"/>
      <c r="I24" s="94"/>
      <c r="J24" s="95"/>
      <c r="K24">
        <f>VLOOKUP(F24,Data!$F$3:$G$7,2,FALSE)</f>
        <v>3</v>
      </c>
    </row>
    <row r="25" ht="42" customHeight="1" spans="2:11" x14ac:dyDescent="0.25">
      <c r="B25" s="115"/>
      <c r="C25" s="103" t="s">
        <v>117</v>
      </c>
      <c r="D25" s="104"/>
      <c r="E25" s="105"/>
      <c r="F25" s="163" t="s">
        <v>103</v>
      </c>
      <c r="G25" s="93"/>
      <c r="H25" s="94"/>
      <c r="I25" s="94"/>
      <c r="J25" s="95"/>
      <c r="K25">
        <f>VLOOKUP(F25,Data!$F$3:$G$7,2,FALSE)</f>
        <v>3</v>
      </c>
    </row>
    <row r="26" ht="38" customHeight="1" spans="2:11" x14ac:dyDescent="0.25">
      <c r="B26" s="115"/>
      <c r="C26" s="103" t="s">
        <v>118</v>
      </c>
      <c r="D26" s="104"/>
      <c r="E26" s="105"/>
      <c r="F26" s="163" t="s">
        <v>103</v>
      </c>
      <c r="G26" s="93"/>
      <c r="H26" s="94"/>
      <c r="I26" s="94"/>
      <c r="J26" s="95"/>
      <c r="K26">
        <f>VLOOKUP(F26,Data!$F$3:$G$7,2,FALSE)</f>
        <v>3</v>
      </c>
    </row>
    <row r="27" ht="55" customHeight="1" spans="2:11" x14ac:dyDescent="0.25">
      <c r="B27" s="115"/>
      <c r="C27" s="103" t="s">
        <v>119</v>
      </c>
      <c r="D27" s="104"/>
      <c r="E27" s="105"/>
      <c r="F27" s="163" t="s">
        <v>103</v>
      </c>
      <c r="G27" s="93"/>
      <c r="H27" s="94"/>
      <c r="I27" s="94"/>
      <c r="J27" s="95"/>
      <c r="K27">
        <f>VLOOKUP(F27,Data!$F$3:$G$7,2,FALSE)</f>
        <v>0</v>
      </c>
    </row>
    <row r="28" ht="91" customHeight="1" spans="2:11" x14ac:dyDescent="0.25">
      <c r="B28" s="115"/>
      <c r="C28" s="103" t="s">
        <v>120</v>
      </c>
      <c r="D28" s="104"/>
      <c r="E28" s="105"/>
      <c r="F28" s="163" t="s">
        <v>103</v>
      </c>
      <c r="G28" s="93"/>
      <c r="H28" s="94"/>
      <c r="I28" s="94"/>
      <c r="J28" s="95"/>
      <c r="K28">
        <f>VLOOKUP(F28,Data!$F$3:$G$7,2,FALSE)</f>
        <v>1</v>
      </c>
    </row>
    <row r="29" ht="192" customHeight="1" spans="2:11" x14ac:dyDescent="0.25">
      <c r="B29" s="115"/>
      <c r="C29" s="103" t="s">
        <v>121</v>
      </c>
      <c r="D29" s="104"/>
      <c r="E29" s="105"/>
      <c r="F29" s="163" t="s">
        <v>103</v>
      </c>
      <c r="G29" s="99"/>
      <c r="H29" s="100"/>
      <c r="I29" s="100"/>
      <c r="J29" s="101"/>
      <c r="K29">
        <f>VLOOKUP(F29,Data!$F$3:$G$7,2,FALSE)</f>
        <v>3</v>
      </c>
    </row>
    <row r="30" ht="40" customHeight="1" spans="2:13" x14ac:dyDescent="0.25">
      <c r="B30" s="123" t="s">
        <v>90</v>
      </c>
      <c r="C30" s="124"/>
      <c r="D30" s="124"/>
      <c r="E30" s="124"/>
      <c r="F30" s="124"/>
      <c r="G30" s="125"/>
      <c r="H30" s="125"/>
      <c r="I30" s="126" t="s">
        <v>39</v>
      </c>
      <c r="J30" s="127">
        <f>AVERAGE(K31:K36)/3*100</f>
        <v>0</v>
      </c>
      <c r="K30" s="83"/>
      <c r="L30" s="83" t="str">
        <f>IF(J30&lt;5,"-",IF(J30&lt;10,"AL2","Sr Associate"))</f>
        <v>-</v>
      </c>
      <c r="M30" s="83"/>
    </row>
    <row r="31" ht="40" customHeight="1" spans="2:11" x14ac:dyDescent="0.25">
      <c r="B31" s="114" t="s">
        <v>122</v>
      </c>
      <c r="C31" s="129" t="s">
        <v>123</v>
      </c>
      <c r="D31" s="130"/>
      <c r="E31" s="131"/>
      <c r="F31" s="161" t="s">
        <v>124</v>
      </c>
      <c r="G31" s="89" t="s">
        <v>125</v>
      </c>
      <c r="H31" s="90"/>
      <c r="I31" s="90"/>
      <c r="J31" s="91"/>
      <c r="K31">
        <f>VLOOKUP(F31,Data!$D$3:$G$7,4,FALSE)</f>
        <v>0</v>
      </c>
    </row>
    <row r="32" ht="85" customHeight="1" spans="2:11" x14ac:dyDescent="0.25">
      <c r="B32" s="115"/>
      <c r="C32" s="130" t="s">
        <v>126</v>
      </c>
      <c r="D32" s="130"/>
      <c r="E32" s="131"/>
      <c r="F32" s="161" t="s">
        <v>124</v>
      </c>
      <c r="G32" s="93"/>
      <c r="H32" s="94"/>
      <c r="I32" s="94"/>
      <c r="J32" s="95"/>
      <c r="K32">
        <f>VLOOKUP(F32,Data!$D$3:$G$7,4,FALSE)</f>
        <v>0</v>
      </c>
    </row>
    <row r="33" ht="52" customHeight="1" spans="2:11" x14ac:dyDescent="0.25">
      <c r="B33" s="115"/>
      <c r="C33" s="129" t="s">
        <v>127</v>
      </c>
      <c r="D33" s="130"/>
      <c r="E33" s="131"/>
      <c r="F33" s="161" t="s">
        <v>124</v>
      </c>
      <c r="G33" s="93"/>
      <c r="H33" s="94"/>
      <c r="I33" s="94"/>
      <c r="J33" s="95"/>
      <c r="K33">
        <f>VLOOKUP(F33,Data!$D$3:$G$7,4,FALSE)</f>
        <v>0</v>
      </c>
    </row>
    <row r="34" ht="40" customHeight="1" spans="2:11" x14ac:dyDescent="0.25">
      <c r="B34" s="115"/>
      <c r="C34" s="129" t="s">
        <v>128</v>
      </c>
      <c r="D34" s="130"/>
      <c r="E34" s="131"/>
      <c r="F34" s="161" t="s">
        <v>124</v>
      </c>
      <c r="G34" s="93"/>
      <c r="H34" s="94"/>
      <c r="I34" s="94"/>
      <c r="J34" s="95"/>
      <c r="K34">
        <f>VLOOKUP(F34,Data!$D$3:$G$7,4,FALSE)</f>
        <v>0</v>
      </c>
    </row>
    <row r="35" ht="103" customHeight="1" spans="2:11" x14ac:dyDescent="0.25">
      <c r="B35" s="115"/>
      <c r="C35" s="129" t="s">
        <v>129</v>
      </c>
      <c r="D35" s="130"/>
      <c r="E35" s="131"/>
      <c r="F35" s="161" t="s">
        <v>124</v>
      </c>
      <c r="G35" s="93"/>
      <c r="H35" s="94"/>
      <c r="I35" s="94"/>
      <c r="J35" s="95"/>
      <c r="K35">
        <f>VLOOKUP(F35,Data!$D$3:$G$7,4,FALSE)</f>
        <v>0</v>
      </c>
    </row>
    <row r="36" ht="53" customHeight="1" spans="2:11" x14ac:dyDescent="0.25">
      <c r="B36" s="116"/>
      <c r="C36" s="129" t="s">
        <v>130</v>
      </c>
      <c r="D36" s="130"/>
      <c r="E36" s="131"/>
      <c r="F36" s="161" t="s">
        <v>124</v>
      </c>
      <c r="G36" s="99"/>
      <c r="H36" s="100"/>
      <c r="I36" s="100"/>
      <c r="J36" s="101"/>
      <c r="K36">
        <f>VLOOKUP(F36,Data!$D$3:$G$7,4,FALSE)</f>
        <v>0</v>
      </c>
    </row>
    <row r="37" ht="53" customHeight="1" spans="2:13" x14ac:dyDescent="0.25">
      <c r="B37" s="123" t="s">
        <v>91</v>
      </c>
      <c r="C37" s="124"/>
      <c r="D37" s="124"/>
      <c r="E37" s="124"/>
      <c r="F37" s="124"/>
      <c r="G37" s="125"/>
      <c r="H37" s="125"/>
      <c r="I37" s="126" t="s">
        <v>39</v>
      </c>
      <c r="J37" s="127">
        <f>AVERAGE(K38:K50)/3*100</f>
        <v>0</v>
      </c>
      <c r="K37" s="83"/>
      <c r="L37" s="83" t="str">
        <f>IF(J37&lt;5,"-",IF(J37&lt;10,"AL2","Sr Associate"))</f>
        <v>-</v>
      </c>
      <c r="M37" s="83"/>
    </row>
    <row r="38" ht="53" customHeight="1" spans="2:11" x14ac:dyDescent="0.25">
      <c r="B38" s="114" t="s">
        <v>91</v>
      </c>
      <c r="C38" s="129" t="s">
        <v>131</v>
      </c>
      <c r="D38" s="130"/>
      <c r="E38" s="131"/>
      <c r="F38" s="161" t="s">
        <v>124</v>
      </c>
      <c r="G38" s="89" t="s">
        <v>132</v>
      </c>
      <c r="H38" s="90"/>
      <c r="I38" s="90"/>
      <c r="J38" s="91"/>
      <c r="K38">
        <f>VLOOKUP(F38,Data!$D$3:$G$7,4,FALSE)</f>
        <v>0</v>
      </c>
    </row>
    <row r="39" ht="18" customHeight="1" spans="2:11" x14ac:dyDescent="0.25">
      <c r="B39" s="115"/>
      <c r="C39" s="129" t="s">
        <v>133</v>
      </c>
      <c r="D39" s="130"/>
      <c r="E39" s="131"/>
      <c r="F39" s="161" t="s">
        <v>124</v>
      </c>
      <c r="G39" s="93"/>
      <c r="H39" s="94"/>
      <c r="I39" s="94"/>
      <c r="J39" s="95"/>
      <c r="K39">
        <f>VLOOKUP(F39,Data!$D$3:$G$7,4,FALSE)</f>
        <v>0</v>
      </c>
    </row>
    <row r="40" ht="37" customHeight="1" spans="2:11" x14ac:dyDescent="0.25">
      <c r="B40" s="115"/>
      <c r="C40" s="129" t="s">
        <v>134</v>
      </c>
      <c r="D40" s="130"/>
      <c r="E40" s="131"/>
      <c r="F40" s="161" t="s">
        <v>124</v>
      </c>
      <c r="G40" s="93"/>
      <c r="H40" s="94"/>
      <c r="I40" s="94"/>
      <c r="J40" s="95"/>
      <c r="K40">
        <f>VLOOKUP(F40,Data!$D$3:$G$7,4,FALSE)</f>
        <v>0</v>
      </c>
    </row>
    <row r="41" ht="37" customHeight="1" spans="2:11" x14ac:dyDescent="0.25">
      <c r="B41" s="115"/>
      <c r="C41" s="129" t="s">
        <v>135</v>
      </c>
      <c r="D41" s="130"/>
      <c r="E41" s="131"/>
      <c r="F41" s="161" t="s">
        <v>124</v>
      </c>
      <c r="G41" s="93"/>
      <c r="H41" s="94"/>
      <c r="I41" s="94"/>
      <c r="J41" s="95"/>
      <c r="K41">
        <f>VLOOKUP(F41,Data!$D$3:$G$7,4,FALSE)</f>
        <v>0</v>
      </c>
    </row>
    <row r="42" ht="42" customHeight="1" spans="2:11" x14ac:dyDescent="0.25">
      <c r="B42" s="115"/>
      <c r="C42" s="129" t="s">
        <v>136</v>
      </c>
      <c r="D42" s="130"/>
      <c r="E42" s="131"/>
      <c r="F42" s="161" t="s">
        <v>124</v>
      </c>
      <c r="G42" s="93"/>
      <c r="H42" s="94"/>
      <c r="I42" s="94"/>
      <c r="J42" s="95"/>
      <c r="K42">
        <f>VLOOKUP(F42,Data!$D$3:$G$7,4,FALSE)</f>
        <v>0</v>
      </c>
    </row>
    <row r="43" ht="33" customHeight="1" spans="2:11" x14ac:dyDescent="0.25">
      <c r="B43" s="116"/>
      <c r="C43" s="132" t="s">
        <v>137</v>
      </c>
      <c r="D43" s="130"/>
      <c r="E43" s="131"/>
      <c r="F43" s="161" t="s">
        <v>124</v>
      </c>
      <c r="G43" s="99"/>
      <c r="H43" s="100"/>
      <c r="I43" s="100"/>
      <c r="J43" s="101"/>
      <c r="K43">
        <f>VLOOKUP(F43,Data!$D$3:$G$7,4,FALSE)</f>
        <v>0</v>
      </c>
    </row>
    <row r="44" ht="41" customHeight="1" spans="2:10" x14ac:dyDescent="0.25">
      <c r="B44" s="123" t="s">
        <v>79</v>
      </c>
      <c r="C44" s="124"/>
      <c r="D44" s="124"/>
      <c r="E44" s="124"/>
      <c r="F44" s="124"/>
      <c r="G44" s="124"/>
      <c r="H44" s="124"/>
      <c r="I44" s="124"/>
      <c r="J44" s="133"/>
    </row>
    <row r="45" ht="57" customHeight="1" spans="2:10" x14ac:dyDescent="0.25">
      <c r="B45" s="134" t="s">
        <v>80</v>
      </c>
      <c r="C45" s="129" t="s">
        <v>81</v>
      </c>
      <c r="D45" s="131"/>
      <c r="E45" s="135" t="s">
        <v>82</v>
      </c>
      <c r="F45" s="136" t="s">
        <v>83</v>
      </c>
      <c r="G45" s="106"/>
      <c r="H45" s="107"/>
      <c r="I45" s="107"/>
      <c r="J45" s="108"/>
    </row>
    <row r="46" ht="22" customHeight="1" spans="2:10" x14ac:dyDescent="0.25">
      <c r="B46" s="137" t="s">
        <v>84</v>
      </c>
      <c r="C46" s="138"/>
      <c r="D46" s="138"/>
      <c r="E46" s="138"/>
      <c r="F46" s="139"/>
      <c r="G46" s="164"/>
      <c r="H46" s="165"/>
      <c r="I46" s="165"/>
      <c r="J46" s="166"/>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2"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80" zoomScaleNormal="180">
      <selection activeCell="B6" sqref="B6"/>
    </sheetView>
  </sheetViews>
  <sheetFormatPr defaultRowHeight="16" outlineLevelRow="0" outlineLevelCol="0" x14ac:dyDescent="0.2" defaultColWidth="11" customHeight="1"/>
  <cols>
    <col min="1" max="1" width="17.83203125" customWidth="1"/>
    <col min="2" max="2" width="122.6640625" customWidth="1"/>
  </cols>
  <sheetData>
    <row r="1" spans="1:1" x14ac:dyDescent="0.25">
      <c r="A1" t="s">
        <v>164</v>
      </c>
    </row>
    <row r="2" spans="1:2" x14ac:dyDescent="0.25">
      <c r="A2" t="s">
        <v>33</v>
      </c>
      <c r="B2" t="s">
        <v>165</v>
      </c>
    </row>
    <row r="3" spans="1:2" x14ac:dyDescent="0.25">
      <c r="A3" t="s">
        <v>166</v>
      </c>
      <c r="B3" t="s">
        <v>167</v>
      </c>
    </row>
    <row r="4" spans="1:2" x14ac:dyDescent="0.25">
      <c r="A4" t="s">
        <v>168</v>
      </c>
      <c r="B4" t="s">
        <v>169</v>
      </c>
    </row>
    <row r="5" spans="1:2" x14ac:dyDescent="0.25">
      <c r="A5" t="s">
        <v>170</v>
      </c>
      <c r="B5" t="s">
        <v>171</v>
      </c>
    </row>
    <row r="6" spans="1:2" x14ac:dyDescent="0.25">
      <c r="A6" t="s">
        <v>100</v>
      </c>
      <c r="B6" t="s">
        <v>172</v>
      </c>
    </row>
    <row r="7" spans="1:2" x14ac:dyDescent="0.25">
      <c r="A7" t="s">
        <v>173</v>
      </c>
      <c r="B7" t="s">
        <v>174</v>
      </c>
    </row>
    <row r="8" spans="1:2" x14ac:dyDescent="0.25">
      <c r="A8" t="s">
        <v>175</v>
      </c>
      <c r="B8" t="s">
        <v>176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50" zoomScaleNormal="150">
      <selection activeCell="A2" sqref="A2"/>
    </sheetView>
  </sheetViews>
  <sheetFormatPr defaultRowHeight="16" outlineLevelRow="0" outlineLevelCol="0" x14ac:dyDescent="0.2" defaultColWidth="11" customHeight="1"/>
  <sheetData>
    <row r="1" spans="1:1" x14ac:dyDescent="0.25">
      <c r="A1" t="s">
        <v>177</v>
      </c>
    </row>
    <row r="2" spans="1:2" x14ac:dyDescent="0.25">
      <c r="A2" t="s">
        <v>33</v>
      </c>
      <c r="B2" t="s">
        <v>178</v>
      </c>
    </row>
    <row r="3" spans="1:2" x14ac:dyDescent="0.25">
      <c r="A3" t="s">
        <v>166</v>
      </c>
      <c r="B3" t="s">
        <v>179</v>
      </c>
    </row>
    <row r="4" spans="1:2" x14ac:dyDescent="0.25">
      <c r="A4" t="s">
        <v>168</v>
      </c>
      <c r="B4" t="s">
        <v>180</v>
      </c>
    </row>
    <row r="5" spans="1:2" x14ac:dyDescent="0.25">
      <c r="A5" t="s">
        <v>170</v>
      </c>
      <c r="B5" t="s">
        <v>181</v>
      </c>
    </row>
    <row r="6" spans="1:2" x14ac:dyDescent="0.25">
      <c r="A6" t="s">
        <v>100</v>
      </c>
      <c r="B6" t="s">
        <v>182</v>
      </c>
    </row>
    <row r="7" spans="1:2" x14ac:dyDescent="0.25">
      <c r="A7" t="s">
        <v>173</v>
      </c>
      <c r="B7" t="s">
        <v>183</v>
      </c>
    </row>
    <row r="8" spans="1:2" x14ac:dyDescent="0.25">
      <c r="A8" t="s">
        <v>175</v>
      </c>
      <c r="B8" t="s">
        <v>176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 HTML, CSS &amp; NFRs</vt:lpstr>
      <vt:lpstr>2 - FW React</vt:lpstr>
      <vt:lpstr>Data</vt:lpstr>
      <vt:lpstr>React Exercise</vt:lpstr>
      <vt:lpstr>Core Exercise</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