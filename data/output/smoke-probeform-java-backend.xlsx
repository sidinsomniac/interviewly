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Java Backend" state="visible" r:id="rId4"/>
    <sheet sheetId="2" name="Data" state="hidden" r:id="rId5"/>
    <sheet sheetId="1"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<sst xmlns="http://schemas.openxmlformats.org/spreadsheetml/2006/main" count="173" uniqueCount="137">
  <si>
    <t>Experience Engineering Hiring Probe Form [If in doubt REJECT the candidate]</t>
  </si>
  <si>
    <t>Candidate Name:</t>
  </si>
  <si>
    <t>Schema Smoke Candidate</t>
  </si>
  <si>
    <t>Interviewer Name:</t>
  </si>
  <si>
    <t>Medha</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</si>
  <si>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</si>
  <si>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</si>
  <si>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</si>
  <si>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</si>
  <si>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</si>
  <si>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</si>
  <si>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</si>
  <si>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</si>
  <si>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</si>
  <si>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</si>
  <si>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</si>
  <si>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</si>
  <si>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</si>
  <si>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</si>
  <si>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</si>
  <si>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</si>
  <si>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</si>
  <si>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</si>
  <si>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</si>
  <si>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</si>
  <si>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</si>
  <si>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</si>
  <si>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</si>
  <si>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</si>
  <si>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Evaluation Date:</t>
  </si>
  <si>
    <t>05/27/2026</t>
  </si>
  <si>
    <t>Recommended Training</t>
  </si>
  <si>
    <t>Domain Feedback Summary &amp; Key Highlights:</t>
  </si>
  <si>
    <t>Synthetic domain feedback summary written by scripts/smoke-react-probeform.ts. Confirms D10 wiring on the React role schema. All competency rows below were filled deterministically without an LLM call.</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</si>
  <si>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</si>
  <si>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</si>
  <si>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</si>
  <si>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</si>
  <si>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</si>
  <si>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</si>
  <si>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</si>
  <si>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</si>
  <si>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</si>
  <si>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Spring Boot &amp; Autoconfiguration</t>
  </si>
  <si>
    <t>Spring Boot — @ConditionalOnClass / @ConditionalOnProperty</t>
  </si>
  <si>
    <t xml:space="preserve">Able to explain concepts in depth </t>
  </si>
  <si>
    <t>[Spring Boot &amp; Autoconfiguration] Smoke test feedback for row 20 — Spring Boot — spring.factories / auto-configuration imports.</t>
  </si>
  <si>
    <t>Spring Boot — auto-configuration ordering / overriding</t>
  </si>
  <si>
    <t>Spring Boot — embedded Tomcat vs Undertow vs Netty</t>
  </si>
  <si>
    <t>Spring Boot — actuator endpoints / health indicators</t>
  </si>
  <si>
    <t>Confident hands on developer</t>
  </si>
  <si>
    <t>Spring Boot — @ConfigurationProperties vs @Value</t>
  </si>
  <si>
    <t>Spring Boot — profile-specific configuration / YAML multi-document</t>
  </si>
  <si>
    <t>Spring Boot — spring.factories / auto-configuration imports</t>
  </si>
  <si>
    <t>Spring Data JPA &amp; Hibernate</t>
  </si>
  <si>
    <t>JPA — N+1 query detection / @EntityGraph</t>
  </si>
  <si>
    <t>[Spring Data JPA &amp; Hibernate] Smoke test feedback for row 29 — Spring Data JPA — Specification / QueryDSL.</t>
  </si>
  <si>
    <t>Hibernate — first-level vs second-level cache</t>
  </si>
  <si>
    <t>JPA — @OneToMany fetch strategies (LAZY vs EAGER)</t>
  </si>
  <si>
    <t>Hibernate — batch fetching / @BatchSize</t>
  </si>
  <si>
    <t>Spring Data JPA — derived query methods vs @Query</t>
  </si>
  <si>
    <t>JPA — optimistic vs pessimistic locking</t>
  </si>
  <si>
    <t>Hibernate — inheritance strategies (JOINED vs TABLE_PER_CLASS)</t>
  </si>
  <si>
    <t>Spring Data JPA — Specification / QueryDSL</t>
  </si>
  <si>
    <t>Transaction Management &amp; Concurrency</t>
  </si>
  <si>
    <t>Spring — @Transactional propagation (REQUIRED vs REQUIRES_NEW)</t>
  </si>
  <si>
    <t>[Transaction Management &amp; Concurrency] Smoke test feedback for row 36 — Java — volatile vs AtomicInteger vs LongAdder.</t>
  </si>
  <si>
    <t>Spring — @Transactional isolation levels (READ_COMMITTED vs REPEATABLE_READ)</t>
  </si>
  <si>
    <t>Java — synchronized vs ReentrantLock vs StampedLock</t>
  </si>
  <si>
    <t>Java — ConcurrentHashMap internal segments / computeIfAbsent</t>
  </si>
  <si>
    <t>Java — ExecutorService / ThreadPoolExecutor tuning</t>
  </si>
  <si>
    <t>Java — volatile vs AtomicInteger vs LongAdder</t>
  </si>
  <si>
    <t>REST, Security &amp; Observability</t>
  </si>
  <si>
    <t>REST — HATEOAS / Richardson Maturity Model</t>
  </si>
  <si>
    <t>[REST, Security &amp; Observability] Smoke test feedback for row 43 — Project Reactor — Mono vs Flux / backpressure.</t>
  </si>
  <si>
    <t>Spring Security — OAuth2 / JWT token validation</t>
  </si>
  <si>
    <t>Spring Security — method security (@PreAuthorize)</t>
  </si>
  <si>
    <t>Micrometer — custom metrics / @Timed</t>
  </si>
  <si>
    <t>Docker — multi-stage builds / layer caching</t>
  </si>
  <si>
    <t>Project Reactor — Mono vs Flux / backpressure</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</si>
  <si>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</si>
  <si>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</si>
  <si>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</si>
  <si>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</si>
  <si>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</si>
  <si>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</si>
  <si>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</si>
  <si>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</si>
  <si>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</si>
  <si>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</si>
  <si>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</si>
  <si>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</si>
  <si>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</si>
  <si>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</si>
  <si>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</si>
  <si>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Did not probe</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</si>
  <si>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</si>
  <si>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</si>
  <si>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</si>
  <si>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</si>
  <si>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</si>
  <si>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</si>
  <si>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</si>
  <si>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</si>
  <si>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</si>
  <si>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</si>
  <si>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</si>
  <si>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</si>
  <si>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</si>
  <si>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</si>
  <si>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</si>
  <si>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</si>
  <si>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</si>
  <si>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</si>
  <si>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</si>
  <si>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app</t>
  </si>
  <si>
    <t>interviewly</t>
  </si>
  <si>
    <t>version</t>
  </si>
  <si>
    <t>0.1.0</t>
  </si>
  <si>
    <t>model_provider</t>
  </si>
  <si>
    <t>deepseek</t>
  </si>
  <si>
    <t>model_id</t>
  </si>
  <si>
    <t>deepseek-v4-flash</t>
  </si>
  <si>
    <t>generated_at</t>
  </si>
  <si>
    <t>2026-05-30T20:06:11.557Z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</si>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</sst>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 Id="rId6" Type="http://schemas.openxmlformats.org/officeDocument/2006/relationships/worksheet" Target="worksheets/sheet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115</v>
      </c>
      <c r="B1" t="s">
        <v>116</v>
      </c>
    </row>
    <row r="2" spans="1:2" x14ac:dyDescent="0.25">
      <c r="A2" t="s">
        <v>117</v>
      </c>
      <c r="B2" t="s">
        <v>118</v>
      </c>
    </row>
    <row r="3" spans="1:2" x14ac:dyDescent="0.25">
      <c r="A3" t="s">
        <v>119</v>
      </c>
      <c r="B3" t="s">
        <v>120</v>
      </c>
    </row>
    <row r="4" spans="1:2" x14ac:dyDescent="0.25">
      <c r="A4" t="s">
        <v>121</v>
      </c>
      <c r="B4" t="s">
        <v>122</v>
      </c>
    </row>
    <row r="5" spans="1:2" x14ac:dyDescent="0.25">
      <c r="A5" t="s">
        <v>123</v>
      </c>
      <c r="B5" t="s">
        <v>124</v>
      </c>
    </row>
    <row r="6" spans="1:2" x14ac:dyDescent="0.25">
      <c r="A6" t="s">
        <v>125</v>
      </c>
      <c r="B6" t="s">
        <v>126</v>
      </c>
    </row>
    <row r="7" spans="1:2" x14ac:dyDescent="0.25">
      <c r="A7" t="s">
        <v>127</v>
      </c>
      <c r="B7" t="s">
        <v>128</v>
      </c>
    </row>
    <row r="8" spans="1:2" x14ac:dyDescent="0.25">
      <c r="A8" t="s">
        <v>129</v>
      </c>
      <c r="B8" t="s">
        <v>130</v>
      </c>
    </row>
    <row r="9" spans="1:2" x14ac:dyDescent="0.25">
      <c r="A9" t="s">
        <v>131</v>
      </c>
      <c r="B9" t="s">
        <v>132</v>
      </c>
    </row>
    <row r="10" spans="1:2" x14ac:dyDescent="0.25">
      <c r="A10" t="s">
        <v>133</v>
      </c>
      <c r="B10" t="s">
        <v>134</v>
      </c>
    </row>
    <row r="11" spans="1:2" x14ac:dyDescent="0.25">
      <c r="A11" t="s">
        <v>135</v>
      </c>
      <c r="B11" t="s">
        <v>136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86</v>
      </c>
      <c r="D2" s="128" t="s">
        <v>87</v>
      </c>
      <c r="E2" s="128" t="s">
        <v>88</v>
      </c>
      <c r="F2" s="128" t="s">
        <v>89</v>
      </c>
      <c r="G2" s="128" t="s">
        <v>90</v>
      </c>
      <c r="H2" s="128" t="s">
        <v>91</v>
      </c>
      <c r="I2" s="128" t="s">
        <v>92</v>
      </c>
      <c r="J2" s="128" t="s">
        <v>93</v>
      </c>
    </row>
    <row r="3" spans="2:10" x14ac:dyDescent="0.25">
      <c r="B3" t="s">
        <v>94</v>
      </c>
      <c r="C3" t="s">
        <v>6</v>
      </c>
      <c r="D3" t="s">
        <v>95</v>
      </c>
      <c r="E3" s="129" t="s">
        <v>96</v>
      </c>
      <c r="F3" t="s">
        <v>95</v>
      </c>
      <c r="G3">
        <v>0</v>
      </c>
      <c r="H3" t="s">
        <v>97</v>
      </c>
      <c r="I3" t="s">
        <v>98</v>
      </c>
      <c r="J3" t="s">
        <v>17</v>
      </c>
    </row>
    <row r="4" spans="2:9" x14ac:dyDescent="0.25">
      <c r="B4" t="s">
        <v>99</v>
      </c>
      <c r="C4" t="s">
        <v>100</v>
      </c>
      <c r="D4" t="s">
        <v>101</v>
      </c>
      <c r="E4" t="s">
        <v>102</v>
      </c>
      <c r="F4" t="s">
        <v>101</v>
      </c>
      <c r="G4">
        <v>0</v>
      </c>
      <c r="H4" t="s">
        <v>103</v>
      </c>
      <c r="I4" t="s">
        <v>104</v>
      </c>
    </row>
    <row r="5" spans="2:8" x14ac:dyDescent="0.25">
      <c r="B5" t="s">
        <v>22</v>
      </c>
      <c r="C5" t="s">
        <v>105</v>
      </c>
      <c r="D5" t="s">
        <v>106</v>
      </c>
      <c r="E5" t="s">
        <v>107</v>
      </c>
      <c r="F5" t="s">
        <v>108</v>
      </c>
      <c r="G5">
        <v>1</v>
      </c>
      <c r="H5" t="s">
        <v>109</v>
      </c>
    </row>
    <row r="6" spans="2:7" x14ac:dyDescent="0.25">
      <c r="B6" t="s">
        <v>110</v>
      </c>
      <c r="D6" t="s">
        <v>111</v>
      </c>
      <c r="F6" t="s">
        <v>112</v>
      </c>
      <c r="G6">
        <v>2</v>
      </c>
    </row>
    <row r="7" spans="2:7" x14ac:dyDescent="0.25">
      <c r="B7" t="s">
        <v>113</v>
      </c>
      <c r="D7" t="s">
        <v>114</v>
      </c>
      <c r="F7" t="s">
        <v>50</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7</v>
      </c>
      <c r="D5" s="22"/>
      <c r="E5" s="23" t="s">
        <v>19</v>
      </c>
      <c r="F5" s="24" t="s">
        <v>20</v>
      </c>
      <c r="G5" s="25"/>
      <c r="H5" s="26" t="s">
        <v>21</v>
      </c>
      <c r="I5" s="27" t="s">
        <v>22</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23</v>
      </c>
      <c r="C6" s="34">
        <v>5</v>
      </c>
      <c r="D6" s="22"/>
      <c r="E6" s="35" t="s">
        <v>24</v>
      </c>
      <c r="F6" s="24"/>
      <c r="G6" s="25"/>
      <c r="H6" s="36" t="s">
        <v>25</v>
      </c>
      <c r="I6" s="24"/>
      <c r="J6" s="37"/>
    </row>
    <row r="7" ht="22" customHeight="1" spans="2:10" x14ac:dyDescent="0.25">
      <c r="B7" s="20" t="s">
        <v>26</v>
      </c>
      <c r="C7" s="24" t="s">
        <v>22</v>
      </c>
      <c r="D7" s="22"/>
      <c r="E7" s="35" t="s">
        <v>27</v>
      </c>
      <c r="F7" s="38" t="str">
        <f>V5</f>
        <v>Senior Experience Engineer</v>
      </c>
      <c r="G7" s="25"/>
      <c r="H7" s="39" t="s">
        <v>28</v>
      </c>
      <c r="I7" s="40"/>
      <c r="J7" s="41"/>
    </row>
    <row r="8" ht="22" customHeight="1" spans="2:10" x14ac:dyDescent="0.25">
      <c r="B8" s="42" t="s">
        <v>29</v>
      </c>
      <c r="C8" s="43" t="s">
        <v>30</v>
      </c>
      <c r="D8" s="44"/>
      <c r="E8" s="45" t="s">
        <v>31</v>
      </c>
      <c r="F8" s="46" t="str">
        <f>IF(W5,"React Specialist", "No trainings required")</f>
        <v>No trainings required</v>
      </c>
      <c r="G8" s="47"/>
      <c r="H8" s="48"/>
      <c r="I8" s="49"/>
      <c r="J8" s="50"/>
    </row>
    <row r="9" ht="128" customHeight="1" spans="2:10" x14ac:dyDescent="0.25">
      <c r="B9" s="51" t="s">
        <v>32</v>
      </c>
      <c r="C9" s="52"/>
      <c r="D9" s="53" t="s">
        <v>33</v>
      </c>
      <c r="E9" s="53"/>
      <c r="F9" s="53"/>
      <c r="G9" s="53"/>
      <c r="H9" s="53"/>
      <c r="I9" s="53"/>
      <c r="J9" s="54"/>
    </row>
    <row r="10" ht="68" customHeight="1" spans="2:10" x14ac:dyDescent="0.25">
      <c r="B10" s="55" t="s">
        <v>34</v>
      </c>
      <c r="C10" s="56"/>
      <c r="D10" s="57"/>
      <c r="E10" s="57"/>
      <c r="F10" s="57"/>
      <c r="G10" s="57"/>
      <c r="H10" s="57"/>
      <c r="I10" s="57"/>
      <c r="J10" s="58"/>
    </row>
    <row r="11" ht="71" customHeight="1" spans="2:10" x14ac:dyDescent="0.25">
      <c r="B11" s="59" t="s">
        <v>35</v>
      </c>
      <c r="C11" s="60" t="s">
        <v>36</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37</v>
      </c>
      <c r="C12" s="65" t="s">
        <v>38</v>
      </c>
      <c r="D12" s="66"/>
      <c r="E12" s="67"/>
      <c r="F12" s="68" t="s">
        <v>39</v>
      </c>
      <c r="G12" s="69" t="s">
        <v>40</v>
      </c>
      <c r="H12" s="70"/>
      <c r="I12" s="70"/>
      <c r="J12" s="71"/>
      <c r="N12" s="72"/>
      <c r="O12" s="72"/>
    </row>
    <row r="13" ht="40" customHeight="1" spans="2:13" x14ac:dyDescent="0.25">
      <c r="B13" s="73" t="s">
        <v>41</v>
      </c>
      <c r="C13" s="74"/>
      <c r="D13" s="74"/>
      <c r="E13" s="74"/>
      <c r="F13" s="74"/>
      <c r="G13" s="75"/>
      <c r="H13" s="75"/>
      <c r="I13" s="76" t="s">
        <v>42</v>
      </c>
      <c r="J13" s="77">
        <f>AVERAGE(K14:K20)/3*100</f>
        <v>76.19047619047619</v>
      </c>
      <c r="K13" s="78"/>
      <c r="L13" s="78" t="str">
        <f>IF(J13&lt;60, "Rejected",IF(J13&lt;70,"Associate",IF(J13&lt;80,"SAL1","SAL2")))</f>
        <v>SAL1</v>
      </c>
      <c r="M13" s="78"/>
    </row>
    <row r="14" ht="88" customHeight="1" spans="2:11" x14ac:dyDescent="0.25">
      <c r="B14" s="79" t="s">
        <v>43</v>
      </c>
      <c r="C14" s="80" t="s">
        <v>44</v>
      </c>
      <c r="D14" s="81"/>
      <c r="E14" s="82"/>
      <c r="F14" s="83" t="s">
        <v>45</v>
      </c>
      <c r="G14" s="84" t="s">
        <v>46</v>
      </c>
      <c r="H14" s="85"/>
      <c r="I14" s="85"/>
      <c r="J14" s="86"/>
      <c r="K14">
        <f>VLOOKUP(F14,Data!$F$3:$G$7,2,FALSE)</f>
        <v>3</v>
      </c>
    </row>
    <row r="15" ht="38" customHeight="1" spans="2:11" x14ac:dyDescent="0.25">
      <c r="B15" s="87"/>
      <c r="C15" s="80" t="s">
        <v>47</v>
      </c>
      <c r="D15" s="81"/>
      <c r="E15" s="82"/>
      <c r="F15" s="83" t="s">
        <v>45</v>
      </c>
      <c r="G15" s="88"/>
      <c r="H15" s="89"/>
      <c r="I15" s="89"/>
      <c r="J15" s="90"/>
      <c r="K15">
        <f>VLOOKUP(F15,Data!$F$3:$G$7,2,FALSE)</f>
        <v>3</v>
      </c>
    </row>
    <row r="16" ht="37" customHeight="1" spans="2:11" x14ac:dyDescent="0.25">
      <c r="B16" s="87"/>
      <c r="C16" s="80" t="s">
        <v>48</v>
      </c>
      <c r="D16" s="81"/>
      <c r="E16" s="82"/>
      <c r="F16" s="83" t="s">
        <v>45</v>
      </c>
      <c r="G16" s="88"/>
      <c r="H16" s="89"/>
      <c r="I16" s="89"/>
      <c r="J16" s="90"/>
      <c r="K16">
        <f>VLOOKUP(F16,Data!$F$3:$G$7,2,FALSE)</f>
        <v>3</v>
      </c>
    </row>
    <row r="17" ht="40" customHeight="1" spans="2:11" x14ac:dyDescent="0.25">
      <c r="B17" s="87"/>
      <c r="C17" s="80" t="s">
        <v>49</v>
      </c>
      <c r="D17" s="81"/>
      <c r="E17" s="82"/>
      <c r="F17" s="83" t="s">
        <v>50</v>
      </c>
      <c r="G17" s="88"/>
      <c r="H17" s="89"/>
      <c r="I17" s="89"/>
      <c r="J17" s="90"/>
      <c r="K17">
        <f>VLOOKUP(F17,Data!$F$3:$G$7,2,FALSE)</f>
        <v>3</v>
      </c>
    </row>
    <row r="18" ht="34" customHeight="1" spans="2:11" x14ac:dyDescent="0.25">
      <c r="B18" s="87"/>
      <c r="C18" s="91" t="s">
        <v>51</v>
      </c>
      <c r="D18" s="92"/>
      <c r="E18" s="93"/>
      <c r="F18" s="83" t="s">
        <v>50</v>
      </c>
      <c r="G18" s="88"/>
      <c r="H18" s="89"/>
      <c r="I18" s="89"/>
      <c r="J18" s="90"/>
      <c r="K18">
        <f>VLOOKUP(F18,Data!$F$3:$G$7,2,FALSE)</f>
        <v>3</v>
      </c>
    </row>
    <row r="19" ht="35" customHeight="1" spans="2:11" x14ac:dyDescent="0.25">
      <c r="B19" s="87"/>
      <c r="C19" s="91" t="s">
        <v>52</v>
      </c>
      <c r="D19" s="92"/>
      <c r="E19" s="93"/>
      <c r="F19" s="83" t="s">
        <v>50</v>
      </c>
      <c r="G19" s="88"/>
      <c r="H19" s="89"/>
      <c r="I19" s="89"/>
      <c r="J19" s="90"/>
      <c r="K19">
        <f>VLOOKUP(F19,Data!$F$3:$G$7,2,FALSE)</f>
        <v>1</v>
      </c>
    </row>
    <row r="20" ht="272" customHeight="1" spans="2:11" x14ac:dyDescent="0.25">
      <c r="B20" s="94"/>
      <c r="C20" s="91" t="s">
        <v>53</v>
      </c>
      <c r="D20" s="92"/>
      <c r="E20" s="93"/>
      <c r="F20" s="83" t="s">
        <v>45</v>
      </c>
      <c r="G20" s="95"/>
      <c r="H20" s="96"/>
      <c r="I20" s="96"/>
      <c r="J20" s="97"/>
      <c r="K20">
        <f>VLOOKUP(F20,Data!$F$3:$G$7,2,FALSE)</f>
        <v>0</v>
      </c>
    </row>
    <row r="21" ht="40" customHeight="1" spans="2:16" x14ac:dyDescent="0.25">
      <c r="B21" s="73"/>
      <c r="C21" s="74"/>
      <c r="D21" s="74"/>
      <c r="E21" s="74"/>
      <c r="F21" s="74"/>
      <c r="G21" s="75"/>
      <c r="H21" s="75"/>
      <c r="I21" s="76" t="s">
        <v>42</v>
      </c>
      <c r="J21" s="77">
        <f>AVERAGE(K22:K29)/3*100</f>
        <v>62.5</v>
      </c>
      <c r="K21" s="78"/>
      <c r="L21" s="78" t="str">
        <f>IF(J21&lt;25,"Rejected",IF(J21&lt;40, "Associate", IF(J21&lt;50,"SAL1","SAL2")))</f>
        <v>SAL2</v>
      </c>
      <c r="M21" s="78"/>
      <c r="N21" s="78"/>
      <c r="O21" s="78"/>
      <c r="P21" s="78"/>
    </row>
    <row r="22" ht="37" customHeight="1" spans="2:11" x14ac:dyDescent="0.25">
      <c r="B22" s="79" t="s">
        <v>54</v>
      </c>
      <c r="C22" s="98" t="s">
        <v>55</v>
      </c>
      <c r="D22" s="99"/>
      <c r="E22" s="100"/>
      <c r="F22" s="83" t="s">
        <v>50</v>
      </c>
      <c r="G22" s="84" t="s">
        <v>56</v>
      </c>
      <c r="H22" s="85"/>
      <c r="I22" s="85"/>
      <c r="J22" s="86"/>
      <c r="K22">
        <f>VLOOKUP(F22,Data!$F$3:$G$7,2,FALSE)</f>
        <v>1</v>
      </c>
    </row>
    <row r="23" ht="56" customHeight="1" spans="2:11" x14ac:dyDescent="0.25">
      <c r="B23" s="87"/>
      <c r="C23" s="98" t="s">
        <v>57</v>
      </c>
      <c r="D23" s="99"/>
      <c r="E23" s="100"/>
      <c r="F23" s="83" t="s">
        <v>45</v>
      </c>
      <c r="G23" s="88"/>
      <c r="H23" s="89"/>
      <c r="I23" s="89"/>
      <c r="J23" s="90"/>
      <c r="K23">
        <f>VLOOKUP(F23,Data!$F$3:$G$7,2,FALSE)</f>
        <v>1</v>
      </c>
    </row>
    <row r="24" ht="41" customHeight="1" spans="2:11" x14ac:dyDescent="0.25">
      <c r="B24" s="87"/>
      <c r="C24" s="98" t="s">
        <v>58</v>
      </c>
      <c r="D24" s="99"/>
      <c r="E24" s="100"/>
      <c r="F24" s="101" t="s">
        <v>50</v>
      </c>
      <c r="G24" s="88"/>
      <c r="H24" s="89"/>
      <c r="I24" s="89"/>
      <c r="J24" s="90"/>
      <c r="K24">
        <f>VLOOKUP(F24,Data!$F$3:$G$7,2,FALSE)</f>
        <v>3</v>
      </c>
    </row>
    <row r="25" ht="42" customHeight="1" spans="2:11" x14ac:dyDescent="0.25">
      <c r="B25" s="87"/>
      <c r="C25" s="102" t="s">
        <v>59</v>
      </c>
      <c r="D25" s="103"/>
      <c r="E25" s="104"/>
      <c r="F25" s="105" t="s">
        <v>50</v>
      </c>
      <c r="G25" s="88"/>
      <c r="H25" s="89"/>
      <c r="I25" s="89"/>
      <c r="J25" s="90"/>
      <c r="K25">
        <f>VLOOKUP(F25,Data!$F$3:$G$7,2,FALSE)</f>
        <v>3</v>
      </c>
    </row>
    <row r="26" ht="38" customHeight="1" spans="2:11" x14ac:dyDescent="0.25">
      <c r="B26" s="87"/>
      <c r="C26" s="102" t="s">
        <v>60</v>
      </c>
      <c r="D26" s="103"/>
      <c r="E26" s="104"/>
      <c r="F26" s="105" t="s">
        <v>50</v>
      </c>
      <c r="G26" s="88"/>
      <c r="H26" s="89"/>
      <c r="I26" s="89"/>
      <c r="J26" s="90"/>
      <c r="K26">
        <f>VLOOKUP(F26,Data!$F$3:$G$7,2,FALSE)</f>
        <v>3</v>
      </c>
    </row>
    <row r="27" ht="55" customHeight="1" spans="2:11" x14ac:dyDescent="0.25">
      <c r="B27" s="87"/>
      <c r="C27" s="102" t="s">
        <v>61</v>
      </c>
      <c r="D27" s="103"/>
      <c r="E27" s="104"/>
      <c r="F27" s="105" t="s">
        <v>45</v>
      </c>
      <c r="G27" s="88"/>
      <c r="H27" s="89"/>
      <c r="I27" s="89"/>
      <c r="J27" s="90"/>
      <c r="K27">
        <f>VLOOKUP(F27,Data!$F$3:$G$7,2,FALSE)</f>
        <v>0</v>
      </c>
    </row>
    <row r="28" ht="91" customHeight="1" spans="2:11" x14ac:dyDescent="0.25">
      <c r="B28" s="87"/>
      <c r="C28" s="102" t="s">
        <v>62</v>
      </c>
      <c r="D28" s="103"/>
      <c r="E28" s="104"/>
      <c r="F28" s="105" t="s">
        <v>45</v>
      </c>
      <c r="G28" s="88"/>
      <c r="H28" s="89"/>
      <c r="I28" s="89"/>
      <c r="J28" s="90"/>
      <c r="K28">
        <f>VLOOKUP(F28,Data!$F$3:$G$7,2,FALSE)</f>
        <v>1</v>
      </c>
    </row>
    <row r="29" ht="192" customHeight="1" spans="2:11" x14ac:dyDescent="0.25">
      <c r="B29" s="87"/>
      <c r="C29" s="102" t="s">
        <v>63</v>
      </c>
      <c r="D29" s="103"/>
      <c r="E29" s="104"/>
      <c r="F29" s="105" t="s">
        <v>50</v>
      </c>
      <c r="G29" s="95"/>
      <c r="H29" s="96"/>
      <c r="I29" s="96"/>
      <c r="J29" s="97"/>
      <c r="K29">
        <f>VLOOKUP(F29,Data!$F$3:$G$7,2,FALSE)</f>
        <v>3</v>
      </c>
    </row>
    <row r="30" ht="40" customHeight="1" spans="2:13" x14ac:dyDescent="0.25">
      <c r="B30" s="106"/>
      <c r="C30" s="107"/>
      <c r="D30" s="107"/>
      <c r="E30" s="107"/>
      <c r="F30" s="107"/>
      <c r="G30" s="108"/>
      <c r="H30" s="108"/>
      <c r="I30" s="109" t="s">
        <v>42</v>
      </c>
      <c r="J30" s="110">
        <f>AVERAGE(K31:K36)/3*100</f>
        <v>0</v>
      </c>
      <c r="K30" s="78"/>
      <c r="L30" s="78" t="str">
        <f>IF(J30&lt;5,"-",IF(J30&lt;10,"AL2","Sr Associate"))</f>
        <v>-</v>
      </c>
      <c r="M30" s="78"/>
    </row>
    <row r="31" ht="40" customHeight="1" spans="2:11" x14ac:dyDescent="0.25">
      <c r="B31" s="79" t="s">
        <v>64</v>
      </c>
      <c r="C31" s="111" t="s">
        <v>65</v>
      </c>
      <c r="D31" s="112"/>
      <c r="E31" s="113"/>
      <c r="F31" s="83" t="s">
        <v>50</v>
      </c>
      <c r="G31" s="84" t="s">
        <v>66</v>
      </c>
      <c r="H31" s="85"/>
      <c r="I31" s="85"/>
      <c r="J31" s="86"/>
      <c r="K31">
        <f>VLOOKUP(F31,Data!$D$3:$G$7,4,FALSE)</f>
        <v>0</v>
      </c>
    </row>
    <row r="32" ht="85" customHeight="1" spans="2:11" x14ac:dyDescent="0.25">
      <c r="B32" s="87"/>
      <c r="C32" s="112" t="s">
        <v>67</v>
      </c>
      <c r="D32" s="112"/>
      <c r="E32" s="113"/>
      <c r="F32" s="83" t="s">
        <v>45</v>
      </c>
      <c r="G32" s="88"/>
      <c r="H32" s="89"/>
      <c r="I32" s="89"/>
      <c r="J32" s="90"/>
      <c r="K32">
        <f>VLOOKUP(F32,Data!$D$3:$G$7,4,FALSE)</f>
        <v>0</v>
      </c>
    </row>
    <row r="33" ht="52" customHeight="1" spans="2:11" x14ac:dyDescent="0.25">
      <c r="B33" s="87"/>
      <c r="C33" s="111" t="s">
        <v>68</v>
      </c>
      <c r="D33" s="112"/>
      <c r="E33" s="113"/>
      <c r="F33" s="83" t="s">
        <v>50</v>
      </c>
      <c r="G33" s="88"/>
      <c r="H33" s="89"/>
      <c r="I33" s="89"/>
      <c r="J33" s="90"/>
      <c r="K33">
        <f>VLOOKUP(F33,Data!$D$3:$G$7,4,FALSE)</f>
        <v>0</v>
      </c>
    </row>
    <row r="34" ht="40" customHeight="1" spans="2:11" x14ac:dyDescent="0.25">
      <c r="B34" s="87"/>
      <c r="C34" s="111" t="s">
        <v>69</v>
      </c>
      <c r="D34" s="112"/>
      <c r="E34" s="113"/>
      <c r="F34" s="83" t="s">
        <v>50</v>
      </c>
      <c r="G34" s="88"/>
      <c r="H34" s="89"/>
      <c r="I34" s="89"/>
      <c r="J34" s="90"/>
      <c r="K34">
        <f>VLOOKUP(F34,Data!$D$3:$G$7,4,FALSE)</f>
        <v>0</v>
      </c>
    </row>
    <row r="35" ht="103" customHeight="1" spans="2:11" x14ac:dyDescent="0.25">
      <c r="B35" s="87"/>
      <c r="C35" s="111" t="s">
        <v>70</v>
      </c>
      <c r="D35" s="112"/>
      <c r="E35" s="113"/>
      <c r="F35" s="83" t="s">
        <v>45</v>
      </c>
      <c r="G35" s="88"/>
      <c r="H35" s="89"/>
      <c r="I35" s="89"/>
      <c r="J35" s="90"/>
      <c r="K35">
        <f>VLOOKUP(F35,Data!$D$3:$G$7,4,FALSE)</f>
        <v>0</v>
      </c>
    </row>
    <row r="36" ht="53" customHeight="1" spans="2:11" x14ac:dyDescent="0.25">
      <c r="B36" s="94"/>
      <c r="C36" s="111" t="s">
        <v>71</v>
      </c>
      <c r="D36" s="112"/>
      <c r="E36" s="113"/>
      <c r="F36" s="83" t="s">
        <v>50</v>
      </c>
      <c r="G36" s="95"/>
      <c r="H36" s="96"/>
      <c r="I36" s="96"/>
      <c r="J36" s="97"/>
      <c r="K36">
        <f>VLOOKUP(F36,Data!$D$3:$G$7,4,FALSE)</f>
        <v>0</v>
      </c>
    </row>
    <row r="37" ht="53" customHeight="1" spans="2:13" x14ac:dyDescent="0.25">
      <c r="B37" s="106"/>
      <c r="C37" s="107"/>
      <c r="D37" s="107"/>
      <c r="E37" s="107"/>
      <c r="F37" s="107"/>
      <c r="G37" s="108"/>
      <c r="H37" s="108"/>
      <c r="I37" s="109" t="s">
        <v>42</v>
      </c>
      <c r="J37" s="110">
        <f>AVERAGE(K38:K50)/3*100</f>
        <v>0</v>
      </c>
      <c r="K37" s="78"/>
      <c r="L37" s="78" t="str">
        <f>IF(J37&lt;5,"-",IF(J37&lt;10,"AL2","Sr Associate"))</f>
        <v>-</v>
      </c>
      <c r="M37" s="78"/>
    </row>
    <row r="38" ht="53" customHeight="1" spans="2:11" x14ac:dyDescent="0.25">
      <c r="B38" s="79" t="s">
        <v>72</v>
      </c>
      <c r="C38" s="111" t="s">
        <v>73</v>
      </c>
      <c r="D38" s="112"/>
      <c r="E38" s="113"/>
      <c r="F38" s="83" t="s">
        <v>45</v>
      </c>
      <c r="G38" s="84" t="s">
        <v>74</v>
      </c>
      <c r="H38" s="85"/>
      <c r="I38" s="85"/>
      <c r="J38" s="86"/>
      <c r="K38">
        <f>VLOOKUP(F38,Data!$D$3:$G$7,4,FALSE)</f>
        <v>0</v>
      </c>
    </row>
    <row r="39" ht="18" customHeight="1" spans="2:11" x14ac:dyDescent="0.25">
      <c r="B39" s="87"/>
      <c r="C39" s="111" t="s">
        <v>75</v>
      </c>
      <c r="D39" s="112"/>
      <c r="E39" s="113"/>
      <c r="F39" s="83" t="s">
        <v>50</v>
      </c>
      <c r="G39" s="88"/>
      <c r="H39" s="89"/>
      <c r="I39" s="89"/>
      <c r="J39" s="90"/>
      <c r="K39">
        <f>VLOOKUP(F39,Data!$D$3:$G$7,4,FALSE)</f>
        <v>0</v>
      </c>
    </row>
    <row r="40" ht="37" customHeight="1" spans="2:11" x14ac:dyDescent="0.25">
      <c r="B40" s="87"/>
      <c r="C40" s="111" t="s">
        <v>76</v>
      </c>
      <c r="D40" s="112"/>
      <c r="E40" s="113"/>
      <c r="F40" s="83" t="s">
        <v>50</v>
      </c>
      <c r="G40" s="88"/>
      <c r="H40" s="89"/>
      <c r="I40" s="89"/>
      <c r="J40" s="90"/>
      <c r="K40">
        <f>VLOOKUP(F40,Data!$D$3:$G$7,4,FALSE)</f>
        <v>0</v>
      </c>
    </row>
    <row r="41" ht="37" customHeight="1" spans="2:11" x14ac:dyDescent="0.25">
      <c r="B41" s="87"/>
      <c r="C41" s="111" t="s">
        <v>77</v>
      </c>
      <c r="D41" s="112"/>
      <c r="E41" s="113"/>
      <c r="F41" s="83" t="s">
        <v>50</v>
      </c>
      <c r="G41" s="88"/>
      <c r="H41" s="89"/>
      <c r="I41" s="89"/>
      <c r="J41" s="90"/>
      <c r="K41">
        <f>VLOOKUP(F41,Data!$D$3:$G$7,4,FALSE)</f>
        <v>0</v>
      </c>
    </row>
    <row r="42" ht="42" customHeight="1" spans="2:11" x14ac:dyDescent="0.25">
      <c r="B42" s="87"/>
      <c r="C42" s="111" t="s">
        <v>78</v>
      </c>
      <c r="D42" s="112"/>
      <c r="E42" s="113"/>
      <c r="F42" s="83" t="s">
        <v>45</v>
      </c>
      <c r="G42" s="88"/>
      <c r="H42" s="89"/>
      <c r="I42" s="89"/>
      <c r="J42" s="90"/>
      <c r="K42">
        <f>VLOOKUP(F42,Data!$D$3:$G$7,4,FALSE)</f>
        <v>0</v>
      </c>
    </row>
    <row r="43" ht="33" customHeight="1" spans="2:11" x14ac:dyDescent="0.25">
      <c r="B43" s="94"/>
      <c r="C43" s="114" t="s">
        <v>79</v>
      </c>
      <c r="D43" s="112"/>
      <c r="E43" s="113"/>
      <c r="F43" s="83" t="s">
        <v>50</v>
      </c>
      <c r="G43" s="95"/>
      <c r="H43" s="96"/>
      <c r="I43" s="96"/>
      <c r="J43" s="97"/>
      <c r="K43">
        <f>VLOOKUP(F43,Data!$D$3:$G$7,4,FALSE)</f>
        <v>0</v>
      </c>
    </row>
    <row r="44" ht="41" customHeight="1" spans="2:10" x14ac:dyDescent="0.25">
      <c r="B44" s="106" t="s">
        <v>80</v>
      </c>
      <c r="C44" s="107"/>
      <c r="D44" s="107"/>
      <c r="E44" s="107"/>
      <c r="F44" s="107"/>
      <c r="G44" s="107"/>
      <c r="H44" s="107"/>
      <c r="I44" s="107"/>
      <c r="J44" s="115"/>
    </row>
    <row r="45" ht="57" customHeight="1" spans="2:10" x14ac:dyDescent="0.25">
      <c r="B45" s="116" t="s">
        <v>81</v>
      </c>
      <c r="C45" s="111" t="s">
        <v>82</v>
      </c>
      <c r="D45" s="113"/>
      <c r="E45" s="117" t="s">
        <v>83</v>
      </c>
      <c r="F45" s="118" t="s">
        <v>84</v>
      </c>
      <c r="G45" s="119"/>
      <c r="H45" s="120"/>
      <c r="I45" s="120"/>
      <c r="J45" s="121"/>
    </row>
    <row r="46" ht="22" customHeight="1" spans="2:10" x14ac:dyDescent="0.25">
      <c r="B46" s="122" t="s">
        <v>85</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2 - Java Backend</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