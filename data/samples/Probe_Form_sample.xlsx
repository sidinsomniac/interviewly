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Users/sidchatt1/Downloads/probe/"/>
    </mc:Choice>
  </mc:AlternateContent>
  <xr:revisionPtr revIDLastSave="0" documentId="13_ncr:1_{1355D4A4-2A6E-094D-9E1C-42E92A81D082}" xr6:coauthVersionLast="47" xr6:coauthVersionMax="47" xr10:uidLastSave="{00000000-0000-0000-0000-000000000000}"/>
  <bookViews>
    <workbookView xWindow="0" yWindow="760" windowWidth="30240" windowHeight="17380" firstSheet="1" activeTab="1" xr2:uid="{358BFA27-4E6F-854D-9C3B-977CC66136DB}"/>
  </bookViews>
  <sheets>
    <sheet name="1 - HTML, CSS &amp; NFRs" sheetId="1" r:id="rId1"/>
    <sheet name="2 - FW React" sheetId="4" r:id="rId2"/>
    <sheet name="Data" sheetId="2" state="hidden" r:id="rId3"/>
    <sheet name="React Exercise" sheetId="5" state="hidden" r:id="rId4"/>
    <sheet name="Core Exercise" sheetId="6" state="hidden" r:id="rId5"/>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4" l="1"/>
  <c r="K32" i="1"/>
  <c r="K33" i="1"/>
  <c r="K34" i="1"/>
  <c r="K30" i="1"/>
  <c r="D11" i="1"/>
  <c r="K41" i="1"/>
  <c r="K40" i="1"/>
  <c r="K39" i="1"/>
  <c r="K37" i="1"/>
  <c r="K36" i="1"/>
  <c r="K31" i="1"/>
  <c r="K19" i="1"/>
  <c r="K29" i="1"/>
  <c r="K31" i="4"/>
  <c r="K32" i="4"/>
  <c r="K33" i="4"/>
  <c r="K34" i="4"/>
  <c r="K35" i="4"/>
  <c r="K36" i="4"/>
  <c r="J35" i="1" l="1"/>
  <c r="L35" i="1" s="1"/>
  <c r="P5" i="1" s="1"/>
  <c r="K28" i="4"/>
  <c r="K39" i="4"/>
  <c r="K40" i="4"/>
  <c r="K41" i="4"/>
  <c r="K42" i="4"/>
  <c r="K43" i="4"/>
  <c r="K38" i="4"/>
  <c r="K14" i="4"/>
  <c r="K15" i="4"/>
  <c r="K16" i="4"/>
  <c r="K17" i="4"/>
  <c r="K18" i="4"/>
  <c r="K19" i="4"/>
  <c r="K20" i="4"/>
  <c r="J37" i="4" l="1"/>
  <c r="L37" i="4" s="1"/>
  <c r="P5" i="4" s="1"/>
  <c r="J13" i="4"/>
  <c r="L13" i="4" s="1"/>
  <c r="M5" i="4" s="1"/>
  <c r="K17" i="1"/>
  <c r="K29" i="4" l="1"/>
  <c r="J30" i="4" l="1"/>
  <c r="L30" i="4" s="1"/>
  <c r="O5" i="4" s="1"/>
  <c r="K27" i="4"/>
  <c r="K26" i="4"/>
  <c r="K25" i="4"/>
  <c r="K24" i="4"/>
  <c r="K23" i="4"/>
  <c r="K22" i="4"/>
  <c r="K28" i="1"/>
  <c r="J27" i="1" s="1"/>
  <c r="L27" i="1" s="1"/>
  <c r="K22" i="1"/>
  <c r="K23" i="1"/>
  <c r="K24" i="1"/>
  <c r="K25" i="1"/>
  <c r="K26" i="1"/>
  <c r="K21" i="1"/>
  <c r="K15" i="1"/>
  <c r="K16" i="1"/>
  <c r="K18" i="1"/>
  <c r="K14" i="1"/>
  <c r="O5" i="1" l="1"/>
  <c r="J13" i="1"/>
  <c r="J38" i="1"/>
  <c r="L38" i="1" s="1"/>
  <c r="Q5" i="1" s="1"/>
  <c r="J20" i="1"/>
  <c r="J21" i="4"/>
  <c r="L21" i="4" s="1"/>
  <c r="N5" i="4" s="1"/>
  <c r="Q5" i="4" s="1"/>
  <c r="L20" i="1" l="1"/>
  <c r="N5" i="1" s="1"/>
  <c r="U5" i="1" s="1"/>
  <c r="V5" i="1" s="1"/>
  <c r="L13" i="1"/>
  <c r="M5" i="1" s="1"/>
  <c r="R5" i="4"/>
  <c r="T5" i="1" l="1"/>
  <c r="S5" i="1"/>
  <c r="R5" i="1"/>
  <c r="U5" i="4"/>
  <c r="S5" i="4"/>
  <c r="T5" i="4" s="1"/>
  <c r="V5" i="4" l="1"/>
  <c r="F7" i="4" s="1"/>
  <c r="W5" i="1"/>
  <c r="X5" i="1" l="1"/>
  <c r="Y5" i="1" s="1"/>
  <c r="Z5" i="1" s="1"/>
  <c r="W5" i="4"/>
  <c r="F8" i="4" s="1"/>
  <c r="AA5" i="1" l="1"/>
  <c r="F7" i="1" s="1"/>
  <c r="AC5" i="1" l="1"/>
  <c r="AB5" i="1"/>
  <c r="F8" i="1" l="1"/>
</calcChain>
</file>

<file path=xl/sharedStrings.xml><?xml version="1.0" encoding="utf-8"?>
<sst xmlns="http://schemas.openxmlformats.org/spreadsheetml/2006/main" count="297" uniqueCount="177">
  <si>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</si>
  <si>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</si>
  <si>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</si>
  <si>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</si>
  <si>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</si>
  <si>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</si>
  <si>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</si>
  <si>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</si>
  <si>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</si>
  <si>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</si>
  <si>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</si>
  <si>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</si>
  <si>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</si>
  <si>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</si>
  <si>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</si>
  <si>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</si>
  <si>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</si>
  <si>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</si>
  <si>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</si>
  <si>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</si>
  <si>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</si>
  <si>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</si>
  <si>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</si>
  <si>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</si>
  <si>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</si>
  <si>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</si>
  <si>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</si>
  <si>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</si>
  <si>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</si>
  <si>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</si>
  <si>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</si>
  <si>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</si>
  <si>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</si>
  <si>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</si>
  <si>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</si>
  <si>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</si>
  <si>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</si>
  <si>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</si>
  <si>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</si>
  <si>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</si>
  <si>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</si>
  <si>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</si>
  <si>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</si>
  <si>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sz val="12"/>
        <color theme="1"/>
        <rFont val="Calibri"/>
        <family val="2"/>
        <scheme val="minor"/>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</si>
  <si>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</si>
  <si>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</si>
  <si>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</si>
  <si>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</si>
  <si>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</si>
  <si>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</si>
  <si>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</si>
  <si>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</si>
  <si>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</si>
  <si>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</si>
  <si>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</si>
  <si>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</si>
  <si>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</si>
  <si>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sz val="12"/>
        <color rgb="FFFF0000"/>
        <rFont val="Calibri (Body)"/>
      </rPr>
      <t>(Cover maximum listed topics as hands-on coding exercise)</t>
    </r>
  </si>
  <si>
    <t>Javascript</t>
  </si>
  <si>
    <t>Hands on coding exercise to cover following topics: 
Event Listeners (Able to use following: addEventListener, event object, stopPropagation, preventDefault)
DOM Manipulation (querySelector, querySelectorAll, innerHTML, DOM Fragments[optional])</t>
  </si>
  <si>
    <t>Loops/map
Promises (then-catch, async-await, promise.all)
Fetch API
Able to create modules, and use import and export statement
Able to explain usecases for deboune and throttle
Able to modify and transform objects</t>
  </si>
  <si>
    <t>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</si>
  <si>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</si>
  <si>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</si>
  <si>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Able to explain the benefits and trade-offs of using TypeScript over JavaScript. 
Understands basic types, including string, number, boolean, undefined, null, and any.</t>
  </si>
  <si>
    <t xml:space="preserve">Comfortable with advanced types such as interfaces, enums, tuples, generics, and unions. 
</t>
  </si>
  <si>
    <t>Experience in using TypeScript with popular frontend frameworks, particularly React. 
Has experience configuring a TypeScript project using tsconfig.json.</t>
  </si>
  <si>
    <t>Tooling &amp; Bundlers</t>
  </si>
  <si>
    <t>Bundlers</t>
  </si>
  <si>
    <t>Able to explain concept of Monorepo and related tools (nx, turborepo)
Experience configuring a module bundler - webpack/esbuild/rollup/vite</t>
  </si>
  <si>
    <t>Tooling</t>
  </si>
  <si>
    <t>Has experience of using &amp; configuring following tools:
Linters - Pa11y, ESLint, Sonar
Formatters - Prettier
GitHooks - Husky, lint-staged
WebServers - Apache/Nginx</t>
  </si>
  <si>
    <t>NFR's</t>
  </si>
  <si>
    <t>Performance</t>
  </si>
  <si>
    <t>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</si>
  <si>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</si>
  <si>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Able to explain security &amp; compliance topics like: HIPPA, GDPR, PCI, PII, XSS, CORS, MITM, CSP, CSRF, OWASP, SSL/TLS
Able to explain mechanism to secure cookies</t>
  </si>
  <si>
    <t>Accessibility</t>
  </si>
  <si>
    <t>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</si>
  <si>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</si>
  <si>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</si>
  <si>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</si>
  <si>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</si>
  <si>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</si>
  <si>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</si>
  <si>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Siddhartha Chatterjee</t>
  </si>
  <si>
    <t>Selected</t>
  </si>
  <si>
    <t>React Basics</t>
  </si>
  <si>
    <t>React Advance</t>
  </si>
  <si>
    <t>Node</t>
  </si>
  <si>
    <t>GraphQL</t>
  </si>
  <si>
    <t>React Specialist</t>
  </si>
  <si>
    <t>Senior Experience Engineer</t>
  </si>
  <si>
    <t>Shopping Cart</t>
  </si>
  <si>
    <r>
      <t xml:space="preserve">React Basics </t>
    </r>
    <r>
      <rPr>
        <b/>
        <sz val="12"/>
        <color rgb="FFFF0000"/>
        <rFont val="Calibri (Body)"/>
      </rPr>
      <t>(Cover maximum listed topics as hands-on coding exercise)</t>
    </r>
  </si>
  <si>
    <t>Able to create nested components, and write clean JSX markup (and uses atomic design principle)
Able to do conditional rendering
Able to import &amp; export components through different files (both default and named exports)</t>
  </si>
  <si>
    <t>Confident hands on developer</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</si>
  <si>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</si>
  <si>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</si>
  <si>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</si>
  <si>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</si>
  <si>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</si>
  <si>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Able to explain concepts theoritically</t>
  </si>
  <si>
    <t xml:space="preserve">Able to demonstrate handling error using error boundries </t>
  </si>
  <si>
    <r>
      <t xml:space="preserve">React Advance </t>
    </r>
    <r>
      <rPr>
        <b/>
        <sz val="12"/>
        <color rgb="FFFF0000"/>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</si>
  <si>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</si>
  <si>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</si>
  <si>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</si>
  <si>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Able to code with guidance</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</si>
  <si>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</si>
  <si>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</si>
  <si>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</si>
  <si>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Able to explain react routing/next routing 
Able to explain route based chunking, react lazy and suspense
Able to give PoV on SPA and MPA</t>
  </si>
  <si>
    <t>Able to give PoV on various state management techniques e.g. Redux, redux toolkit, react-query, recoil, jotai, context api, xstate, Apollo Client, etc. 
Able to give explain handling of side-effects with state management library (e.g. redux thunk, saga, etc)</t>
  </si>
  <si>
    <t>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</si>
  <si>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</si>
  <si>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</si>
  <si>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Provide details of areas probed along with names of technologies used. </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</si>
  <si>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</si>
  <si>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</si>
  <si>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</si>
  <si>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</si>
  <si>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</si>
  <si>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</si>
  <si>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</si>
  <si>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</si>
  <si>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</si>
  <si>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</si>
  <si>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</si>
  <si>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</si>
  <si>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</si>
  <si>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</si>
  <si>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</si>
  <si>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</si>
  <si>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</si>
  <si>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</si>
  <si>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</si>
  <si>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</si>
  <si>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</si>
  <si>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</si>
  <si>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</si>
  <si>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</si>
  <si>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</si>
  <si>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</si>
  <si>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</si>
  <si>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</si>
  <si>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</si>
  <si>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</si>
  <si>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</si>
  <si>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</si>
  <si>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</si>
  <si>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Manager Experience Engineering</t>
  </si>
  <si>
    <t xml:space="preserve">Confident with decision making &amp; hands on </t>
  </si>
  <si>
    <t>React</t>
  </si>
  <si>
    <r>
      <t xml:space="preserve">Create a React web application that consumes the </t>
    </r>
    <r>
      <rPr>
        <sz val="12"/>
        <color theme="4"/>
        <rFont val="Calibri (Body)"/>
      </rPr>
      <t>https://pokeapi.co/api/v2/pokemon/</t>
    </r>
    <r>
      <rPr>
        <sz val="12"/>
        <color theme="1"/>
        <rFont val="Calibri"/>
        <family val="2"/>
        <scheme val="minor"/>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</si>
  <si>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</si>
  <si>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</si>
  <si>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</si>
  <si>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</si>
  <si>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</si>
  <si>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</si>
  <si>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</si>
  <si>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</si>
  <si>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</si>
  <si>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</si>
  <si>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</si>
  <si>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</si>
  <si>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sz val="12"/>
        <color theme="4"/>
        <rFont val="Calibri (Body)"/>
      </rPr>
      <t>https://pokeapi.co/api/v2/pokemon/</t>
    </r>
    <r>
      <rPr>
        <sz val="12"/>
        <color theme="1"/>
        <rFont val="Calibri"/>
        <family val="2"/>
        <scheme val="minor"/>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</si>
  <si>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</si>
  <si>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</si>
  <si>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</si>
  <si>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</si>
  <si>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</si>
  <si>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Gurnoor Kaur</t>
  </si>
  <si>
    <t>&gt; Gurnoor was able to successfully complete the preliminary exercise and all corresponding branching questions.
&gt; Nonetheless she has good practical knowledge, demonstrates strong grasp of useEffect, useState, useRef, useContext, useReducer, useLayoutEffefct, optimizing component structure and re-renders, along with memoization hooks.
&gt; Manages form submission, event binding, AJAX calls, and validation with a structured, practical approach.
&gt; She writes structured components as well.</t>
  </si>
  <si>
    <t>&gt; Gurnoor was able to successfully demonstrate fundamental and advanced knowledge and had completed the Shopping Cart exercise with no guidance.
&gt; She displayed knowledge in asyncronicity and data sequencing, as well as nested implementations.
&gt; Understands global state management, optimizing performance and reducing prop drilling efficiently using useContext hooks and Redux toolkit..
&gt; Differentiates useMemo and useCallback, optimizing renders and preventing unnecessary computations.
&gt; Overall has sufficient knowledge for a senior developer when it comes to React.</t>
  </si>
  <si>
    <t>Gurnoor demonstrated consistent hands-on strength across both foundational and advanced React concepts. She confidently handled the preliminary exercise and branching discussions, showing solid understanding of hooks, component structuring, state management, and rendering optimization. Her approach to forms, asynchronous flows, and nested implementations was practical and well-organized.
She independently completed the Shopping Cart exercise and showed good awareness of performance considerations, memoization, and scalable state management patterns using Context and Redux Toolkit. Overall, Gurnoor displayed the level of practical understanding and problem-solving expected from a senior React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</si>
</sst>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0"/>
      <name val="Calibri"/>
      <family val="2"/>
      <scheme val="minor"/>
    </font>
    <font>
      <b/>
      <sz val="12"/>
      <color theme="1"/>
      <name val="Calibri"/>
      <family val="2"/>
      <scheme val="minor"/>
    </font>
    <font>
      <b/>
      <sz val="12"/>
      <color rgb="FF000000"/>
      <name val="Calibri"/>
      <family val="2"/>
      <scheme val="minor"/>
    </font>
    <font>
      <b/>
      <sz val="12"/>
      <name val="Calibri"/>
      <family val="2"/>
      <scheme val="minor"/>
    </font>
    <font>
      <sz val="12"/>
      <color rgb="FF000000"/>
      <name val="Calibri"/>
      <family val="2"/>
      <scheme val="minor"/>
    </font>
    <font>
      <b/>
      <sz val="12"/>
      <color rgb="FFFF0000"/>
      <name val="Calibri (Body)"/>
    </font>
    <font>
      <sz val="12"/>
      <color theme="4"/>
      <name val="Calibri (Body)"/>
    </font>
  </fonts>
  <fills count="17">
    <fill>
      <patternFill patternType="none"/>
    </fill>
    <fill>
      <patternFill patternType="gray125"/>
    </fill>
    <fill>
      <patternFill patternType="solid">
        <fgColor theme="9" tint="0.59999389629810485"/>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9" tint="0.59999389629810485"/>
        <bgColor rgb="FF000000"/>
      </patternFill>
    </fill>
    <fill>
      <patternFill patternType="solid">
        <fgColor theme="0" tint="-0.249977111117893"/>
        <bgColor indexed="64"/>
      </patternFill>
    </fill>
    <fill>
      <patternFill patternType="solid">
        <fgColor theme="9" tint="0.39997558519241921"/>
        <bgColor indexed="64"/>
      </patternFill>
    </fill>
    <fill>
      <patternFill patternType="solid">
        <fgColor rgb="FFC000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rgb="FFA9D08E"/>
        <bgColor rgb="FF00000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bottom/>
      <diagonal/>
    </border>
    <border>
      <left style="thin">
        <color auto="1"/>
      </left>
      <right/>
      <top style="thin">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diagonal/>
    </border>
    <border>
      <left/>
      <right style="thin">
        <color auto="1"/>
      </right>
      <top style="thin">
        <color auto="1"/>
      </top>
      <bottom style="medium">
        <color indexed="64"/>
      </bottom>
      <diagonal/>
    </border>
    <border>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auto="1"/>
      </right>
      <top/>
      <bottom style="medium">
        <color indexed="64"/>
      </bottom>
      <diagonal/>
    </border>
    <border>
      <left/>
      <right/>
      <top/>
      <bottom style="medium">
        <color indexed="64"/>
      </bottom>
      <diagonal/>
    </border>
    <border>
      <left style="medium">
        <color indexed="64"/>
      </left>
      <right/>
      <top/>
      <bottom/>
      <diagonal/>
    </border>
    <border>
      <left/>
      <right/>
      <top style="medium">
        <color indexed="64"/>
      </top>
      <bottom style="thin">
        <color auto="1"/>
      </bottom>
      <diagonal/>
    </border>
    <border>
      <left/>
      <right style="medium">
        <color indexed="64"/>
      </right>
      <top style="medium">
        <color indexed="64"/>
      </top>
      <bottom style="medium">
        <color indexed="64"/>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thin">
        <color auto="1"/>
      </bottom>
      <diagonal/>
    </border>
    <border>
      <left/>
      <right style="medium">
        <color indexed="64"/>
      </right>
      <top/>
      <bottom style="thin">
        <color auto="1"/>
      </bottom>
      <diagonal/>
    </border>
    <border>
      <left style="medium">
        <color indexed="64"/>
      </left>
      <right style="thin">
        <color auto="1"/>
      </right>
      <top style="thin">
        <color auto="1"/>
      </top>
      <bottom/>
      <diagonal/>
    </border>
    <border>
      <left/>
      <right style="thin">
        <color auto="1"/>
      </right>
      <top style="thin">
        <color auto="1"/>
      </top>
      <bottom/>
      <diagonal/>
    </border>
    <border>
      <left style="medium">
        <color indexed="64"/>
      </left>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bottom/>
      <diagonal/>
    </border>
    <border>
      <left style="medium">
        <color indexed="64"/>
      </left>
      <right style="thin">
        <color auto="1"/>
      </right>
      <top/>
      <bottom style="thin">
        <color auto="1"/>
      </bottom>
      <diagonal/>
    </border>
    <border>
      <left style="thin">
        <color indexed="64"/>
      </left>
      <right/>
      <top/>
      <bottom style="thin">
        <color auto="1"/>
      </bottom>
      <diagonal/>
    </border>
    <border>
      <left style="medium">
        <color indexed="64"/>
      </left>
      <right style="medium">
        <color indexed="64"/>
      </right>
      <top/>
      <bottom style="thin">
        <color auto="1"/>
      </bottom>
      <diagonal/>
    </border>
    <border>
      <left/>
      <right style="thin">
        <color auto="1"/>
      </right>
      <top/>
      <bottom style="thin">
        <color auto="1"/>
      </bottom>
      <diagonal/>
    </border>
    <border>
      <left style="medium">
        <color indexed="64"/>
      </left>
      <right style="medium">
        <color indexed="64"/>
      </right>
      <top style="thin">
        <color auto="1"/>
      </top>
      <bottom/>
      <diagonal/>
    </border>
  </borders>
  <cellStyleXfs count="1">
    <xf numFmtId="0" fontId="0" fillId="0" borderId="0"/>
  </cellStyleXfs>
  <cellXfs count="171">
    <xf numFmtId="0" fontId="0" fillId="0" borderId="0" xfId="0"/>
    <xf numFmtId="0" fontId="0" fillId="6" borderId="0" xfId="0" applyFill="1"/>
    <xf numFmtId="0" fontId="2" fillId="2" borderId="15" xfId="0" applyFont="1" applyFill="1" applyBorder="1" applyAlignment="1">
      <alignment horizontal="left" vertical="center" wrapText="1"/>
    </xf>
    <xf numFmtId="0" fontId="0" fillId="0" borderId="0" xfId="0" applyAlignment="1">
      <alignment horizontal="left"/>
    </xf>
    <xf numFmtId="0" fontId="2" fillId="7" borderId="25" xfId="0" applyFont="1" applyFill="1" applyBorder="1" applyAlignment="1">
      <alignment vertical="center"/>
    </xf>
    <xf numFmtId="0" fontId="2" fillId="7" borderId="26" xfId="0" applyFont="1" applyFill="1" applyBorder="1" applyAlignment="1">
      <alignment horizontal="right" vertical="center"/>
    </xf>
    <xf numFmtId="0" fontId="0" fillId="0" borderId="0" xfId="0" applyAlignment="1">
      <alignment horizontal="left" vertical="center"/>
    </xf>
    <xf numFmtId="2" fontId="2" fillId="0" borderId="27" xfId="0" applyNumberFormat="1" applyFont="1" applyBorder="1" applyAlignment="1">
      <alignment horizontal="left" vertical="center" indent="1"/>
    </xf>
    <xf numFmtId="0" fontId="2" fillId="7" borderId="24" xfId="0" applyFont="1" applyFill="1" applyBorder="1" applyAlignment="1">
      <alignment vertical="center"/>
    </xf>
    <xf numFmtId="0" fontId="2" fillId="7" borderId="23" xfId="0" applyFont="1" applyFill="1" applyBorder="1" applyAlignment="1">
      <alignment horizontal="right" vertical="center"/>
    </xf>
    <xf numFmtId="1" fontId="2" fillId="0" borderId="6" xfId="0" applyNumberFormat="1" applyFont="1" applyBorder="1" applyAlignment="1">
      <alignment horizontal="left" vertical="center" indent="1"/>
    </xf>
    <xf numFmtId="0" fontId="2" fillId="2" borderId="0" xfId="0" applyFont="1" applyFill="1" applyAlignment="1">
      <alignment vertical="center"/>
    </xf>
    <xf numFmtId="0" fontId="0" fillId="3" borderId="34" xfId="0" applyFill="1" applyBorder="1" applyAlignment="1">
      <alignment horizontal="left" vertical="center" wrapText="1"/>
    </xf>
    <xf numFmtId="0" fontId="0" fillId="3" borderId="6" xfId="0" applyFill="1" applyBorder="1" applyAlignment="1">
      <alignment horizontal="left" vertical="center" wrapText="1"/>
    </xf>
    <xf numFmtId="0" fontId="3" fillId="12" borderId="24" xfId="0" applyFont="1" applyFill="1" applyBorder="1" applyAlignment="1">
      <alignment vertical="center"/>
    </xf>
    <xf numFmtId="0" fontId="3" fillId="12" borderId="23" xfId="0" applyFont="1" applyFill="1" applyBorder="1" applyAlignment="1">
      <alignment horizontal="right" vertical="center"/>
    </xf>
    <xf numFmtId="1" fontId="3" fillId="0" borderId="6" xfId="0" applyNumberFormat="1" applyFont="1" applyBorder="1" applyAlignment="1">
      <alignment horizontal="left" vertical="center" indent="1"/>
    </xf>
    <xf numFmtId="0" fontId="2" fillId="10" borderId="6" xfId="0" applyFont="1" applyFill="1" applyBorder="1" applyAlignment="1">
      <alignment vertical="top" wrapText="1"/>
    </xf>
    <xf numFmtId="0" fontId="0" fillId="10" borderId="11" xfId="0" applyFill="1" applyBorder="1" applyAlignment="1">
      <alignment vertical="top" wrapText="1"/>
    </xf>
    <xf numFmtId="0" fontId="3" fillId="10" borderId="36" xfId="0" applyFont="1" applyFill="1" applyBorder="1" applyAlignment="1">
      <alignment horizontal="left" vertical="top" wrapText="1"/>
    </xf>
    <xf numFmtId="0" fontId="0" fillId="10" borderId="19" xfId="0" applyFill="1" applyBorder="1" applyAlignment="1">
      <alignment vertical="top" wrapText="1"/>
    </xf>
    <xf numFmtId="0" fontId="0" fillId="3" borderId="23" xfId="0" applyFill="1" applyBorder="1" applyAlignment="1">
      <alignment horizontal="left" vertical="center" wrapText="1"/>
    </xf>
    <xf numFmtId="9" fontId="0" fillId="0" borderId="0" xfId="0" applyNumberFormat="1"/>
    <xf numFmtId="9" fontId="0" fillId="0" borderId="0" xfId="0" applyNumberFormat="1" applyAlignment="1">
      <alignment horizontal="left" vertical="center"/>
    </xf>
    <xf numFmtId="0" fontId="2" fillId="13" borderId="24" xfId="0" applyFont="1" applyFill="1" applyBorder="1"/>
    <xf numFmtId="0" fontId="2" fillId="14" borderId="24" xfId="0" applyFont="1" applyFill="1" applyBorder="1"/>
    <xf numFmtId="0" fontId="2" fillId="14" borderId="35" xfId="0" applyFont="1" applyFill="1" applyBorder="1"/>
    <xf numFmtId="0" fontId="0" fillId="15" borderId="23" xfId="0" applyFill="1" applyBorder="1"/>
    <xf numFmtId="0" fontId="0" fillId="15" borderId="24" xfId="0" applyFill="1" applyBorder="1"/>
    <xf numFmtId="0" fontId="0" fillId="10" borderId="24" xfId="0" applyFill="1" applyBorder="1"/>
    <xf numFmtId="0" fontId="0" fillId="10" borderId="35" xfId="0" applyFill="1" applyBorder="1"/>
    <xf numFmtId="9" fontId="0" fillId="15" borderId="24" xfId="0" applyNumberFormat="1" applyFill="1" applyBorder="1"/>
    <xf numFmtId="0" fontId="0" fillId="13" borderId="24" xfId="0" applyFill="1" applyBorder="1"/>
    <xf numFmtId="0" fontId="0" fillId="14" borderId="24" xfId="0" applyFill="1" applyBorder="1"/>
    <xf numFmtId="0" fontId="0" fillId="14" borderId="35" xfId="0" applyFill="1" applyBorder="1"/>
    <xf numFmtId="0" fontId="0" fillId="15" borderId="35" xfId="0" applyFill="1" applyBorder="1"/>
    <xf numFmtId="9" fontId="0" fillId="15" borderId="35" xfId="0" applyNumberFormat="1" applyFill="1" applyBorder="1"/>
    <xf numFmtId="0" fontId="0" fillId="10" borderId="23" xfId="0" applyFill="1" applyBorder="1"/>
    <xf numFmtId="0" fontId="2" fillId="14" borderId="23" xfId="0" applyFont="1" applyFill="1" applyBorder="1"/>
    <xf numFmtId="0" fontId="0" fillId="14" borderId="23" xfId="0" applyFill="1" applyBorder="1"/>
    <xf numFmtId="9" fontId="0" fillId="15" borderId="23" xfId="0" applyNumberFormat="1" applyFill="1" applyBorder="1"/>
    <xf numFmtId="0" fontId="2" fillId="2" borderId="42" xfId="0" applyFont="1" applyFill="1" applyBorder="1" applyAlignment="1">
      <alignment horizontal="left" vertical="center" wrapText="1"/>
    </xf>
    <xf numFmtId="0" fontId="2" fillId="2" borderId="3" xfId="0" applyFont="1" applyFill="1" applyBorder="1" applyAlignment="1">
      <alignment horizontal="left" vertical="center"/>
    </xf>
    <xf numFmtId="0" fontId="2" fillId="2" borderId="3" xfId="0" applyFont="1" applyFill="1" applyBorder="1" applyAlignment="1">
      <alignment horizontal="left" vertical="center" wrapText="1"/>
    </xf>
    <xf numFmtId="0" fontId="2" fillId="2" borderId="43" xfId="0" applyFont="1" applyFill="1" applyBorder="1" applyAlignment="1">
      <alignment horizontal="left" vertical="center" wrapText="1"/>
    </xf>
    <xf numFmtId="0" fontId="2" fillId="6" borderId="2" xfId="0" applyFont="1" applyFill="1" applyBorder="1" applyAlignment="1">
      <alignment vertical="center"/>
    </xf>
    <xf numFmtId="0" fontId="2" fillId="6" borderId="14" xfId="0" applyFont="1" applyFill="1" applyBorder="1" applyAlignment="1" applyProtection="1">
      <alignment horizontal="left" vertical="center" wrapText="1"/>
      <protection hidden="1"/>
    </xf>
    <xf numFmtId="0" fontId="3" fillId="5" borderId="3" xfId="0" applyFont="1" applyFill="1" applyBorder="1" applyAlignment="1">
      <alignment horizontal="left" vertical="center" wrapText="1"/>
    </xf>
    <xf numFmtId="0" fontId="2" fillId="9" borderId="6" xfId="0" applyFont="1" applyFill="1" applyBorder="1" applyAlignment="1">
      <alignment horizontal="left" vertical="center"/>
    </xf>
    <xf numFmtId="0" fontId="2" fillId="9" borderId="6" xfId="0" applyFont="1" applyFill="1" applyBorder="1" applyAlignment="1">
      <alignment horizontal="left" vertical="center" wrapText="1"/>
    </xf>
    <xf numFmtId="0" fontId="2" fillId="2" borderId="49" xfId="0" applyFont="1" applyFill="1" applyBorder="1" applyAlignment="1">
      <alignment horizontal="left" vertical="center" wrapText="1"/>
    </xf>
    <xf numFmtId="0" fontId="2" fillId="2" borderId="52" xfId="0" applyFont="1" applyFill="1" applyBorder="1" applyAlignment="1">
      <alignment horizontal="left" vertical="center"/>
    </xf>
    <xf numFmtId="0" fontId="2" fillId="2" borderId="48" xfId="0" applyFont="1" applyFill="1" applyBorder="1" applyAlignment="1">
      <alignment horizontal="left" vertical="center" wrapText="1"/>
    </xf>
    <xf numFmtId="0" fontId="2" fillId="6" borderId="2" xfId="0" applyFont="1" applyFill="1" applyBorder="1" applyAlignment="1" applyProtection="1">
      <alignment horizontal="left" vertical="center" wrapText="1"/>
      <protection hidden="1"/>
    </xf>
    <xf numFmtId="0" fontId="2" fillId="9" borderId="38" xfId="0" applyFont="1" applyFill="1" applyBorder="1" applyAlignment="1">
      <alignment horizontal="left" vertical="center" wrapText="1"/>
    </xf>
    <xf numFmtId="0" fontId="2" fillId="9" borderId="38" xfId="0" applyFont="1" applyFill="1" applyBorder="1" applyAlignment="1">
      <alignment horizontal="left" vertical="center"/>
    </xf>
    <xf numFmtId="0" fontId="2" fillId="6" borderId="23" xfId="0" applyFont="1" applyFill="1" applyBorder="1" applyAlignment="1">
      <alignment vertical="center" wrapText="1"/>
    </xf>
    <xf numFmtId="0" fontId="0" fillId="3" borderId="50" xfId="0" applyFill="1" applyBorder="1" applyAlignment="1" applyProtection="1">
      <alignment horizontal="left" vertical="center"/>
      <protection locked="0"/>
    </xf>
    <xf numFmtId="0" fontId="2" fillId="3" borderId="2" xfId="0" applyFont="1" applyFill="1" applyBorder="1" applyAlignment="1" applyProtection="1">
      <alignment horizontal="left" vertical="center"/>
      <protection locked="0"/>
    </xf>
    <xf numFmtId="0" fontId="2" fillId="3" borderId="14" xfId="0" applyFont="1" applyFill="1" applyBorder="1" applyAlignment="1" applyProtection="1">
      <alignment horizontal="left" vertical="center"/>
      <protection locked="0"/>
    </xf>
    <xf numFmtId="0" fontId="0" fillId="3" borderId="2" xfId="0" applyFill="1" applyBorder="1" applyAlignment="1" applyProtection="1">
      <alignment horizontal="left" vertical="center"/>
      <protection locked="0"/>
    </xf>
    <xf numFmtId="14" fontId="0" fillId="3" borderId="14" xfId="0" applyNumberFormat="1" applyFill="1" applyBorder="1" applyAlignment="1" applyProtection="1">
      <alignment horizontal="left" vertical="center" wrapText="1"/>
      <protection locked="0"/>
    </xf>
    <xf numFmtId="0" fontId="0" fillId="3" borderId="50" xfId="0" applyFill="1" applyBorder="1" applyAlignment="1" applyProtection="1">
      <alignment horizontal="left" vertical="center" wrapText="1"/>
      <protection locked="0"/>
    </xf>
    <xf numFmtId="0" fontId="2" fillId="16" borderId="21" xfId="0" applyFont="1" applyFill="1" applyBorder="1" applyAlignment="1" applyProtection="1">
      <alignment vertical="center" wrapText="1"/>
      <protection locked="0"/>
    </xf>
    <xf numFmtId="0" fontId="0" fillId="3" borderId="34" xfId="0" applyFill="1" applyBorder="1" applyAlignment="1" applyProtection="1">
      <alignment horizontal="left" vertical="center" wrapText="1"/>
      <protection locked="0"/>
    </xf>
    <xf numFmtId="0" fontId="0" fillId="3" borderId="6" xfId="0" applyFill="1" applyBorder="1" applyAlignment="1" applyProtection="1">
      <alignment horizontal="left" vertical="center" wrapText="1"/>
      <protection locked="0"/>
    </xf>
    <xf numFmtId="0" fontId="2" fillId="9" borderId="23" xfId="0" applyFont="1" applyFill="1" applyBorder="1" applyAlignment="1">
      <alignment horizontal="left" vertical="center"/>
    </xf>
    <xf numFmtId="0" fontId="2" fillId="9" borderId="24" xfId="0" applyFont="1" applyFill="1" applyBorder="1" applyAlignment="1">
      <alignment horizontal="left" vertical="center"/>
    </xf>
    <xf numFmtId="0" fontId="2" fillId="9" borderId="35" xfId="0" applyFont="1" applyFill="1" applyBorder="1" applyAlignment="1">
      <alignment horizontal="left" vertical="center"/>
    </xf>
    <xf numFmtId="49" fontId="0" fillId="16" borderId="21" xfId="0" applyNumberFormat="1" applyFill="1" applyBorder="1" applyAlignment="1">
      <alignment horizontal="left" vertical="top" wrapText="1"/>
    </xf>
    <xf numFmtId="49" fontId="0" fillId="16" borderId="5" xfId="0" applyNumberFormat="1" applyFill="1" applyBorder="1" applyAlignment="1">
      <alignment horizontal="left" vertical="top" wrapText="1"/>
    </xf>
    <xf numFmtId="0" fontId="0" fillId="3" borderId="26" xfId="0" applyFill="1" applyBorder="1" applyAlignment="1" applyProtection="1">
      <alignment horizontal="left" vertical="top" wrapText="1"/>
      <protection locked="0"/>
    </xf>
    <xf numFmtId="0" fontId="0" fillId="3" borderId="25" xfId="0" applyFill="1" applyBorder="1" applyAlignment="1" applyProtection="1">
      <alignment horizontal="left" vertical="top" wrapText="1"/>
      <protection locked="0"/>
    </xf>
    <xf numFmtId="0" fontId="0" fillId="3" borderId="28" xfId="0" applyFill="1" applyBorder="1" applyAlignment="1" applyProtection="1">
      <alignment horizontal="left" vertical="top" wrapText="1"/>
      <protection locked="0"/>
    </xf>
    <xf numFmtId="0" fontId="0" fillId="3" borderId="33" xfId="0" applyFill="1" applyBorder="1" applyAlignment="1" applyProtection="1">
      <alignment horizontal="left" vertical="top" wrapText="1"/>
      <protection locked="0"/>
    </xf>
    <xf numFmtId="0" fontId="0" fillId="3" borderId="0" xfId="0" applyFill="1" applyAlignment="1" applyProtection="1">
      <alignment horizontal="left" vertical="top" wrapText="1"/>
      <protection locked="0"/>
    </xf>
    <xf numFmtId="0" fontId="0" fillId="3" borderId="30" xfId="0" applyFill="1" applyBorder="1" applyAlignment="1" applyProtection="1">
      <alignment horizontal="left" vertical="top" wrapText="1"/>
      <protection locked="0"/>
    </xf>
    <xf numFmtId="0" fontId="0" fillId="3" borderId="39" xfId="0" applyFill="1" applyBorder="1" applyAlignment="1" applyProtection="1">
      <alignment horizontal="left" vertical="top" wrapText="1"/>
      <protection locked="0"/>
    </xf>
    <xf numFmtId="0" fontId="0" fillId="3" borderId="32" xfId="0" applyFill="1" applyBorder="1" applyAlignment="1" applyProtection="1">
      <alignment horizontal="left" vertical="top" wrapText="1"/>
      <protection locked="0"/>
    </xf>
    <xf numFmtId="0" fontId="0" fillId="3" borderId="20" xfId="0" applyFill="1" applyBorder="1" applyAlignment="1" applyProtection="1">
      <alignment horizontal="left" vertical="top" wrapText="1"/>
      <protection locked="0"/>
    </xf>
    <xf numFmtId="0" fontId="0" fillId="10" borderId="4" xfId="0" applyFill="1" applyBorder="1" applyAlignment="1">
      <alignment horizontal="left" vertical="center" wrapText="1"/>
    </xf>
    <xf numFmtId="0" fontId="0" fillId="10" borderId="21" xfId="0" applyFill="1" applyBorder="1" applyAlignment="1">
      <alignment horizontal="left" vertical="center" wrapText="1"/>
    </xf>
    <xf numFmtId="0" fontId="0" fillId="10" borderId="5" xfId="0" applyFill="1" applyBorder="1" applyAlignment="1">
      <alignment horizontal="left" vertical="center" wrapText="1"/>
    </xf>
    <xf numFmtId="0" fontId="2" fillId="7" borderId="23" xfId="0" applyFont="1" applyFill="1" applyBorder="1" applyAlignment="1">
      <alignment horizontal="center" vertical="center"/>
    </xf>
    <xf numFmtId="0" fontId="2" fillId="7" borderId="25" xfId="0" applyFont="1" applyFill="1" applyBorder="1" applyAlignment="1">
      <alignment horizontal="center" vertical="center"/>
    </xf>
    <xf numFmtId="0" fontId="2" fillId="10" borderId="26" xfId="0" applyFont="1" applyFill="1" applyBorder="1" applyAlignment="1">
      <alignment horizontal="left" vertical="top" wrapText="1"/>
    </xf>
    <xf numFmtId="0" fontId="2" fillId="10" borderId="33" xfId="0" applyFont="1" applyFill="1" applyBorder="1" applyAlignment="1">
      <alignment horizontal="left" vertical="top" wrapText="1"/>
    </xf>
    <xf numFmtId="0" fontId="0" fillId="10" borderId="23" xfId="0" applyFill="1" applyBorder="1" applyAlignment="1">
      <alignment horizontal="left" vertical="center" wrapText="1"/>
    </xf>
    <xf numFmtId="0" fontId="0" fillId="10" borderId="24" xfId="0" applyFill="1" applyBorder="1" applyAlignment="1">
      <alignment horizontal="left" vertical="center" wrapText="1"/>
    </xf>
    <xf numFmtId="0" fontId="0" fillId="10" borderId="35" xfId="0" applyFill="1" applyBorder="1" applyAlignment="1">
      <alignment horizontal="left" vertical="center" wrapText="1"/>
    </xf>
    <xf numFmtId="0" fontId="2" fillId="9" borderId="23" xfId="0" applyFont="1" applyFill="1" applyBorder="1" applyAlignment="1">
      <alignment horizontal="left" vertical="center" wrapText="1"/>
    </xf>
    <xf numFmtId="0" fontId="2" fillId="9" borderId="24" xfId="0" applyFont="1" applyFill="1" applyBorder="1" applyAlignment="1">
      <alignment horizontal="left" vertical="center" wrapText="1"/>
    </xf>
    <xf numFmtId="0" fontId="2" fillId="9" borderId="35" xfId="0" applyFont="1" applyFill="1" applyBorder="1" applyAlignment="1">
      <alignment horizontal="left" vertical="center" wrapText="1"/>
    </xf>
    <xf numFmtId="0" fontId="3" fillId="10" borderId="23" xfId="0" applyFont="1" applyFill="1" applyBorder="1" applyAlignment="1">
      <alignment horizontal="left" vertical="center" wrapText="1"/>
    </xf>
    <xf numFmtId="0" fontId="3" fillId="10" borderId="24" xfId="0" applyFont="1" applyFill="1" applyBorder="1" applyAlignment="1">
      <alignment horizontal="left" vertical="center" wrapText="1"/>
    </xf>
    <xf numFmtId="0" fontId="3" fillId="10" borderId="35" xfId="0" applyFont="1" applyFill="1" applyBorder="1" applyAlignment="1">
      <alignment horizontal="left" vertical="center" wrapText="1"/>
    </xf>
    <xf numFmtId="0" fontId="0" fillId="3" borderId="23" xfId="0" applyFill="1" applyBorder="1" applyAlignment="1" applyProtection="1">
      <alignment horizontal="left" vertical="top" wrapText="1"/>
      <protection locked="0"/>
    </xf>
    <xf numFmtId="0" fontId="0" fillId="3" borderId="24" xfId="0" applyFill="1" applyBorder="1" applyAlignment="1" applyProtection="1">
      <alignment horizontal="left" vertical="top" wrapText="1"/>
      <protection locked="0"/>
    </xf>
    <xf numFmtId="0" fontId="0" fillId="3" borderId="35" xfId="0" applyFill="1" applyBorder="1" applyAlignment="1" applyProtection="1">
      <alignment horizontal="left" vertical="top" wrapText="1"/>
      <protection locked="0"/>
    </xf>
    <xf numFmtId="0" fontId="2" fillId="10" borderId="29" xfId="0" applyFont="1" applyFill="1" applyBorder="1" applyAlignment="1">
      <alignment horizontal="left" vertical="top" wrapText="1"/>
    </xf>
    <xf numFmtId="0" fontId="2" fillId="10" borderId="31" xfId="0" applyFont="1" applyFill="1" applyBorder="1" applyAlignment="1">
      <alignment horizontal="left" vertical="top" wrapText="1"/>
    </xf>
    <xf numFmtId="0" fontId="5" fillId="11" borderId="23" xfId="0" applyFont="1" applyFill="1" applyBorder="1" applyAlignment="1">
      <alignment horizontal="left" vertical="top" wrapText="1"/>
    </xf>
    <xf numFmtId="0" fontId="5" fillId="11" borderId="24" xfId="0" applyFont="1" applyFill="1" applyBorder="1" applyAlignment="1">
      <alignment horizontal="left" vertical="top" wrapText="1"/>
    </xf>
    <xf numFmtId="0" fontId="5" fillId="11" borderId="35" xfId="0" applyFont="1" applyFill="1" applyBorder="1" applyAlignment="1">
      <alignment horizontal="left" vertical="top" wrapText="1"/>
    </xf>
    <xf numFmtId="0" fontId="0" fillId="10" borderId="23" xfId="0" applyFill="1" applyBorder="1" applyAlignment="1">
      <alignment horizontal="left" vertical="top" wrapText="1"/>
    </xf>
    <xf numFmtId="0" fontId="0" fillId="10" borderId="35" xfId="0" applyFill="1" applyBorder="1" applyAlignment="1">
      <alignment horizontal="left" vertical="top" wrapText="1"/>
    </xf>
    <xf numFmtId="0" fontId="0" fillId="10" borderId="22" xfId="0" applyFill="1" applyBorder="1" applyAlignment="1">
      <alignment horizontal="left" vertical="top" wrapText="1"/>
    </xf>
    <xf numFmtId="0" fontId="0" fillId="10" borderId="24" xfId="0" applyFill="1" applyBorder="1" applyAlignment="1">
      <alignment horizontal="left" vertical="top" wrapText="1"/>
    </xf>
    <xf numFmtId="0" fontId="3" fillId="12" borderId="23" xfId="0" applyFont="1" applyFill="1" applyBorder="1" applyAlignment="1">
      <alignment horizontal="center" vertical="center"/>
    </xf>
    <xf numFmtId="0" fontId="3" fillId="12" borderId="24" xfId="0" applyFont="1" applyFill="1" applyBorder="1" applyAlignment="1">
      <alignment horizontal="center" vertical="center"/>
    </xf>
    <xf numFmtId="0" fontId="3" fillId="12" borderId="35" xfId="0" applyFont="1" applyFill="1" applyBorder="1" applyAlignment="1">
      <alignment horizontal="center"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9" xfId="0" applyFont="1" applyFill="1" applyBorder="1" applyAlignment="1">
      <alignment horizontal="left" vertical="center"/>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0" fontId="2" fillId="2" borderId="12" xfId="0" applyFont="1" applyFill="1" applyBorder="1" applyAlignment="1">
      <alignment horizontal="left" vertical="center"/>
    </xf>
    <xf numFmtId="0" fontId="0" fillId="4" borderId="45" xfId="0" applyFill="1" applyBorder="1" applyAlignment="1">
      <alignment horizontal="left" vertical="center"/>
    </xf>
    <xf numFmtId="0" fontId="0" fillId="4" borderId="46" xfId="0" applyFill="1" applyBorder="1" applyAlignment="1">
      <alignment horizontal="left" vertical="center"/>
    </xf>
    <xf numFmtId="0" fontId="0" fillId="4" borderId="53" xfId="0" applyFill="1" applyBorder="1" applyAlignment="1">
      <alignment horizontal="left" vertical="center"/>
    </xf>
    <xf numFmtId="0" fontId="0" fillId="3" borderId="50" xfId="0" applyFill="1" applyBorder="1" applyAlignment="1" applyProtection="1">
      <alignment horizontal="left" vertical="center"/>
      <protection locked="0"/>
    </xf>
    <xf numFmtId="0" fontId="0" fillId="3" borderId="41" xfId="0" applyFill="1" applyBorder="1" applyAlignment="1" applyProtection="1">
      <alignment horizontal="left" vertical="center"/>
      <protection locked="0"/>
    </xf>
    <xf numFmtId="0" fontId="0" fillId="3" borderId="1" xfId="0" applyFill="1" applyBorder="1" applyAlignment="1" applyProtection="1">
      <alignment horizontal="left" vertical="center"/>
      <protection locked="0"/>
    </xf>
    <xf numFmtId="0" fontId="0" fillId="3" borderId="16" xfId="0" applyFill="1" applyBorder="1" applyAlignment="1" applyProtection="1">
      <alignment horizontal="left" vertical="center"/>
      <protection locked="0"/>
    </xf>
    <xf numFmtId="0" fontId="0" fillId="3" borderId="2" xfId="0" applyFill="1" applyBorder="1" applyAlignment="1" applyProtection="1">
      <alignment horizontal="left" vertical="center"/>
      <protection locked="0"/>
    </xf>
    <xf numFmtId="0" fontId="0" fillId="3" borderId="17" xfId="0" applyFill="1" applyBorder="1" applyAlignment="1" applyProtection="1">
      <alignment horizontal="left" vertical="center"/>
      <protection locked="0"/>
    </xf>
    <xf numFmtId="0" fontId="4" fillId="7" borderId="23" xfId="0" applyFont="1" applyFill="1" applyBorder="1" applyAlignment="1">
      <alignment horizontal="left" vertical="center" wrapText="1"/>
    </xf>
    <xf numFmtId="0" fontId="4" fillId="7" borderId="24" xfId="0" applyFont="1" applyFill="1" applyBorder="1" applyAlignment="1">
      <alignment horizontal="left" vertical="center" wrapText="1"/>
    </xf>
    <xf numFmtId="0" fontId="3" fillId="5" borderId="43" xfId="0" applyFont="1" applyFill="1" applyBorder="1" applyAlignment="1">
      <alignment horizontal="left" vertical="center" wrapText="1"/>
    </xf>
    <xf numFmtId="0" fontId="3" fillId="5" borderId="48" xfId="0" applyFont="1" applyFill="1" applyBorder="1" applyAlignment="1">
      <alignment horizontal="left" vertical="center" wrapText="1"/>
    </xf>
    <xf numFmtId="0" fontId="0" fillId="3" borderId="14" xfId="0" applyFill="1" applyBorder="1" applyAlignment="1" applyProtection="1">
      <alignment horizontal="center" vertical="center"/>
      <protection locked="0"/>
    </xf>
    <xf numFmtId="0" fontId="0" fillId="3" borderId="18" xfId="0" applyFill="1" applyBorder="1" applyAlignment="1" applyProtection="1">
      <alignment horizontal="center" vertical="center"/>
      <protection locked="0"/>
    </xf>
    <xf numFmtId="0" fontId="0" fillId="3" borderId="13" xfId="0" applyFill="1" applyBorder="1" applyAlignment="1" applyProtection="1">
      <alignment horizontal="center" vertical="center"/>
      <protection locked="0"/>
    </xf>
    <xf numFmtId="0" fontId="0" fillId="3" borderId="30" xfId="0" applyFill="1" applyBorder="1" applyAlignment="1" applyProtection="1">
      <alignment horizontal="center" vertical="center"/>
      <protection locked="0"/>
    </xf>
    <xf numFmtId="0" fontId="1" fillId="8" borderId="44" xfId="0" applyFont="1" applyFill="1" applyBorder="1" applyAlignment="1">
      <alignment horizontal="left" vertical="center" wrapText="1"/>
    </xf>
    <xf numFmtId="0" fontId="1" fillId="8" borderId="40" xfId="0" applyFont="1" applyFill="1" applyBorder="1" applyAlignment="1">
      <alignment horizontal="left" vertical="center" wrapText="1"/>
    </xf>
    <xf numFmtId="0" fontId="0" fillId="4" borderId="45" xfId="0" applyFill="1" applyBorder="1" applyAlignment="1">
      <alignment horizontal="center" vertical="center"/>
    </xf>
    <xf numFmtId="0" fontId="0" fillId="4" borderId="46" xfId="0" applyFill="1" applyBorder="1" applyAlignment="1">
      <alignment horizontal="center" vertical="center"/>
    </xf>
    <xf numFmtId="0" fontId="0" fillId="4" borderId="53" xfId="0" applyFill="1" applyBorder="1" applyAlignment="1">
      <alignment horizontal="center" vertical="center"/>
    </xf>
    <xf numFmtId="0" fontId="4" fillId="7" borderId="24" xfId="0" applyFont="1" applyFill="1" applyBorder="1" applyAlignment="1" applyProtection="1">
      <alignment horizontal="left" vertical="top" wrapText="1"/>
      <protection locked="0"/>
    </xf>
    <xf numFmtId="0" fontId="4" fillId="7" borderId="35" xfId="0" applyFont="1" applyFill="1" applyBorder="1" applyAlignment="1" applyProtection="1">
      <alignment horizontal="left" vertical="top" wrapText="1"/>
      <protection locked="0"/>
    </xf>
    <xf numFmtId="0" fontId="1" fillId="8" borderId="32" xfId="0" applyFont="1" applyFill="1" applyBorder="1" applyAlignment="1" applyProtection="1">
      <alignment horizontal="left" vertical="top" wrapText="1"/>
      <protection locked="0"/>
    </xf>
    <xf numFmtId="0" fontId="1" fillId="8" borderId="20" xfId="0" applyFont="1" applyFill="1" applyBorder="1" applyAlignment="1" applyProtection="1">
      <alignment horizontal="left" vertical="top" wrapText="1"/>
      <protection locked="0"/>
    </xf>
    <xf numFmtId="0" fontId="3" fillId="12" borderId="39" xfId="0" applyFont="1" applyFill="1" applyBorder="1" applyAlignment="1">
      <alignment horizontal="center" vertical="center"/>
    </xf>
    <xf numFmtId="0" fontId="2" fillId="10" borderId="27" xfId="0" applyFont="1" applyFill="1" applyBorder="1" applyAlignment="1">
      <alignment horizontal="left" vertical="top" wrapText="1"/>
    </xf>
    <xf numFmtId="0" fontId="2" fillId="10" borderId="37" xfId="0" applyFont="1" applyFill="1" applyBorder="1" applyAlignment="1">
      <alignment horizontal="left" vertical="top" wrapText="1"/>
    </xf>
    <xf numFmtId="0" fontId="2" fillId="10" borderId="38" xfId="0" applyFont="1" applyFill="1" applyBorder="1" applyAlignment="1">
      <alignment horizontal="left" vertical="top" wrapText="1"/>
    </xf>
    <xf numFmtId="0" fontId="5" fillId="11" borderId="23" xfId="0" applyFont="1" applyFill="1" applyBorder="1" applyAlignment="1">
      <alignment horizontal="left" vertical="center" wrapText="1"/>
    </xf>
    <xf numFmtId="0" fontId="5" fillId="11" borderId="24" xfId="0" applyFont="1" applyFill="1" applyBorder="1" applyAlignment="1">
      <alignment horizontal="left" vertical="center" wrapText="1"/>
    </xf>
    <xf numFmtId="0" fontId="5" fillId="11" borderId="35" xfId="0" applyFont="1" applyFill="1" applyBorder="1" applyAlignment="1">
      <alignment horizontal="left" vertical="center" wrapText="1"/>
    </xf>
    <xf numFmtId="0" fontId="2" fillId="7" borderId="32" xfId="0" applyFont="1" applyFill="1" applyBorder="1" applyAlignment="1">
      <alignment horizontal="center" vertical="center"/>
    </xf>
    <xf numFmtId="0" fontId="2" fillId="7" borderId="24" xfId="0" applyFont="1" applyFill="1" applyBorder="1" applyAlignment="1">
      <alignment horizontal="center" vertical="center"/>
    </xf>
    <xf numFmtId="0" fontId="0" fillId="3" borderId="23" xfId="0" applyFill="1" applyBorder="1" applyAlignment="1">
      <alignment horizontal="left" vertical="top" wrapText="1"/>
    </xf>
    <xf numFmtId="0" fontId="0" fillId="3" borderId="24" xfId="0" applyFill="1" applyBorder="1" applyAlignment="1">
      <alignment horizontal="left" vertical="top" wrapText="1"/>
    </xf>
    <xf numFmtId="0" fontId="0" fillId="3" borderId="35" xfId="0" applyFill="1" applyBorder="1" applyAlignment="1">
      <alignment horizontal="left" vertical="top" wrapText="1"/>
    </xf>
    <xf numFmtId="0" fontId="1" fillId="8" borderId="33" xfId="0" applyFont="1" applyFill="1" applyBorder="1" applyAlignment="1">
      <alignment horizontal="left" vertical="center" wrapText="1"/>
    </xf>
    <xf numFmtId="0" fontId="1" fillId="8" borderId="0" xfId="0" applyFont="1" applyFill="1" applyAlignment="1">
      <alignment horizontal="left" vertical="center" wrapText="1"/>
    </xf>
    <xf numFmtId="0" fontId="2" fillId="9" borderId="39" xfId="0" applyFont="1" applyFill="1" applyBorder="1" applyAlignment="1">
      <alignment horizontal="left" vertical="center" wrapText="1"/>
    </xf>
    <xf numFmtId="0" fontId="2" fillId="9" borderId="32" xfId="0" applyFont="1" applyFill="1" applyBorder="1" applyAlignment="1">
      <alignment horizontal="left" vertical="center" wrapText="1"/>
    </xf>
    <xf numFmtId="0" fontId="2" fillId="9" borderId="20" xfId="0" applyFont="1" applyFill="1" applyBorder="1" applyAlignment="1">
      <alignment horizontal="left" vertical="center" wrapText="1"/>
    </xf>
    <xf numFmtId="0" fontId="1" fillId="8" borderId="0" xfId="0" applyFont="1" applyFill="1" applyAlignment="1" applyProtection="1">
      <alignment horizontal="left" vertical="top" wrapText="1"/>
      <protection locked="0"/>
    </xf>
    <xf numFmtId="0" fontId="1" fillId="8" borderId="30" xfId="0" applyFont="1" applyFill="1" applyBorder="1" applyAlignment="1" applyProtection="1">
      <alignment horizontal="left" vertical="top" wrapText="1"/>
      <protection locked="0"/>
    </xf>
    <xf numFmtId="0" fontId="2" fillId="9" borderId="39" xfId="0" applyFont="1" applyFill="1" applyBorder="1" applyAlignment="1">
      <alignment horizontal="left" vertical="center"/>
    </xf>
    <xf numFmtId="0" fontId="2" fillId="9" borderId="32" xfId="0" applyFont="1" applyFill="1" applyBorder="1" applyAlignment="1">
      <alignment horizontal="left" vertical="center"/>
    </xf>
    <xf numFmtId="0" fontId="2" fillId="9" borderId="20" xfId="0" applyFont="1" applyFill="1" applyBorder="1" applyAlignment="1">
      <alignment horizontal="left" vertical="center"/>
    </xf>
    <xf numFmtId="0" fontId="0" fillId="16" borderId="21" xfId="0" applyFill="1" applyBorder="1" applyAlignment="1">
      <alignment horizontal="left" vertical="top" wrapText="1"/>
    </xf>
    <xf numFmtId="0" fontId="0" fillId="16" borderId="5" xfId="0" applyFill="1" applyBorder="1" applyAlignment="1">
      <alignment horizontal="left" vertical="top" wrapText="1"/>
    </xf>
    <xf numFmtId="0" fontId="0" fillId="4" borderId="51" xfId="0" applyFill="1" applyBorder="1" applyAlignment="1">
      <alignment horizontal="center" vertical="center"/>
    </xf>
    <xf numFmtId="0" fontId="0" fillId="4" borderId="47" xfId="0" applyFill="1" applyBorder="1" applyAlignment="1">
      <alignment horizontal="center" vertical="center"/>
    </xf>
    <xf numFmtId="0" fontId="0" fillId="4" borderId="51" xfId="0" applyFill="1" applyBorder="1" applyAlignment="1">
      <alignment horizontal="left" vertical="center"/>
    </xf>
    <xf numFmtId="0" fontId="0" fillId="4" borderId="47" xfId="0" applyFill="1" applyBorder="1" applyAlignment="1">
      <alignment horizontal="left" vertic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457205</xdr:colOff>
      <xdr:row>1</xdr:row>
      <xdr:rowOff>117472</xdr:rowOff>
    </xdr:from>
    <xdr:to>
      <xdr:col>8</xdr:col>
      <xdr:colOff>296338</xdr:colOff>
      <xdr:row>2</xdr:row>
      <xdr:rowOff>169336</xdr:rowOff>
    </xdr:to>
    <xdr:sp macro="" textlink="">
      <xdr:nvSpPr>
        <xdr:cNvPr id="5" name="Rounded Rectangle 2">
          <a:extLst>
            <a:ext uri="{FF2B5EF4-FFF2-40B4-BE49-F238E27FC236}">
              <a16:creationId xmlns:a16="http://schemas.microsoft.com/office/drawing/2014/main" id="{48366E84-EB90-4A40-8FC8-2C1FBCF495A2}"/>
            </a:ext>
          </a:extLst>
        </xdr:cNvPr>
        <xdr:cNvSpPr/>
      </xdr:nvSpPr>
      <xdr:spPr>
        <a:xfrm>
          <a:off x="8983138" y="261405"/>
          <a:ext cx="1667933" cy="331264"/>
        </a:xfrm>
        <a:prstGeom prst="roundRect">
          <a:avLst/>
        </a:prstGeom>
        <a:solidFill>
          <a:schemeClr val="accent3">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200" b="1">
              <a:solidFill>
                <a:schemeClr val="tx1"/>
              </a:solidFill>
            </a:rPr>
            <a:t>Mandatory</a:t>
          </a:r>
          <a:r>
            <a:rPr lang="en-US" sz="1200" b="1" baseline="0">
              <a:solidFill>
                <a:schemeClr val="tx1"/>
              </a:solidFill>
            </a:rPr>
            <a:t> </a:t>
          </a:r>
          <a:r>
            <a:rPr lang="en-US" sz="1200" b="1">
              <a:solidFill>
                <a:schemeClr val="tx1"/>
              </a:solidFill>
            </a:rPr>
            <a:t>Input Field</a:t>
          </a:r>
        </a:p>
      </xdr:txBody>
    </xdr:sp>
    <xdr:clientData/>
  </xdr:twoCellAnchor>
  <xdr:twoCellAnchor>
    <xdr:from>
      <xdr:col>8</xdr:col>
      <xdr:colOff>355603</xdr:colOff>
      <xdr:row>1</xdr:row>
      <xdr:rowOff>117472</xdr:rowOff>
    </xdr:from>
    <xdr:to>
      <xdr:col>9</xdr:col>
      <xdr:colOff>694270</xdr:colOff>
      <xdr:row>2</xdr:row>
      <xdr:rowOff>169336</xdr:rowOff>
    </xdr:to>
    <xdr:sp macro="" textlink="">
      <xdr:nvSpPr>
        <xdr:cNvPr id="6" name="Rounded Rectangle 2">
          <a:extLst>
            <a:ext uri="{FF2B5EF4-FFF2-40B4-BE49-F238E27FC236}">
              <a16:creationId xmlns:a16="http://schemas.microsoft.com/office/drawing/2014/main" id="{5F763ED8-0DCD-B64B-8F67-82BE422301BB}"/>
            </a:ext>
          </a:extLst>
        </xdr:cNvPr>
        <xdr:cNvSpPr/>
      </xdr:nvSpPr>
      <xdr:spPr>
        <a:xfrm>
          <a:off x="10710336" y="261405"/>
          <a:ext cx="1168401" cy="331264"/>
        </a:xfrm>
        <a:prstGeom prst="roundRect">
          <a:avLst/>
        </a:prstGeom>
        <a:solidFill>
          <a:schemeClr val="bg1">
            <a:lumMod val="7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200" b="1">
              <a:solidFill>
                <a:schemeClr val="tx1"/>
              </a:solidFill>
            </a:rPr>
            <a:t>Do Not</a:t>
          </a:r>
          <a:r>
            <a:rPr lang="en-US" sz="1200" b="1" baseline="0">
              <a:solidFill>
                <a:schemeClr val="tx1"/>
              </a:solidFill>
            </a:rPr>
            <a:t> Modify</a:t>
          </a:r>
          <a:endParaRPr lang="en-US" sz="12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457205</xdr:colOff>
      <xdr:row>1</xdr:row>
      <xdr:rowOff>117472</xdr:rowOff>
    </xdr:from>
    <xdr:to>
      <xdr:col>8</xdr:col>
      <xdr:colOff>296338</xdr:colOff>
      <xdr:row>2</xdr:row>
      <xdr:rowOff>169336</xdr:rowOff>
    </xdr:to>
    <xdr:sp macro="" textlink="">
      <xdr:nvSpPr>
        <xdr:cNvPr id="2" name="Rounded Rectangle 2">
          <a:extLst>
            <a:ext uri="{FF2B5EF4-FFF2-40B4-BE49-F238E27FC236}">
              <a16:creationId xmlns:a16="http://schemas.microsoft.com/office/drawing/2014/main" id="{37205A13-F4D9-E44C-85E3-F5692B8217DB}"/>
            </a:ext>
          </a:extLst>
        </xdr:cNvPr>
        <xdr:cNvSpPr/>
      </xdr:nvSpPr>
      <xdr:spPr>
        <a:xfrm>
          <a:off x="8966205" y="257172"/>
          <a:ext cx="1667933" cy="331264"/>
        </a:xfrm>
        <a:prstGeom prst="roundRect">
          <a:avLst/>
        </a:prstGeom>
        <a:solidFill>
          <a:schemeClr val="accent3">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200" b="1">
              <a:solidFill>
                <a:schemeClr val="tx1"/>
              </a:solidFill>
            </a:rPr>
            <a:t>Mandatory</a:t>
          </a:r>
          <a:r>
            <a:rPr lang="en-US" sz="1200" b="1" baseline="0">
              <a:solidFill>
                <a:schemeClr val="tx1"/>
              </a:solidFill>
            </a:rPr>
            <a:t> </a:t>
          </a:r>
          <a:r>
            <a:rPr lang="en-US" sz="1200" b="1">
              <a:solidFill>
                <a:schemeClr val="tx1"/>
              </a:solidFill>
            </a:rPr>
            <a:t>Input Field</a:t>
          </a:r>
        </a:p>
      </xdr:txBody>
    </xdr:sp>
    <xdr:clientData/>
  </xdr:twoCellAnchor>
  <xdr:twoCellAnchor>
    <xdr:from>
      <xdr:col>8</xdr:col>
      <xdr:colOff>355603</xdr:colOff>
      <xdr:row>1</xdr:row>
      <xdr:rowOff>117472</xdr:rowOff>
    </xdr:from>
    <xdr:to>
      <xdr:col>9</xdr:col>
      <xdr:colOff>694270</xdr:colOff>
      <xdr:row>2</xdr:row>
      <xdr:rowOff>169336</xdr:rowOff>
    </xdr:to>
    <xdr:sp macro="" textlink="">
      <xdr:nvSpPr>
        <xdr:cNvPr id="3" name="Rounded Rectangle 2">
          <a:extLst>
            <a:ext uri="{FF2B5EF4-FFF2-40B4-BE49-F238E27FC236}">
              <a16:creationId xmlns:a16="http://schemas.microsoft.com/office/drawing/2014/main" id="{D4EAF0F0-94C6-524C-AEB9-334DB71735D5}"/>
            </a:ext>
          </a:extLst>
        </xdr:cNvPr>
        <xdr:cNvSpPr/>
      </xdr:nvSpPr>
      <xdr:spPr>
        <a:xfrm>
          <a:off x="10693403" y="257172"/>
          <a:ext cx="1164167" cy="331264"/>
        </a:xfrm>
        <a:prstGeom prst="roundRect">
          <a:avLst/>
        </a:prstGeom>
        <a:solidFill>
          <a:schemeClr val="bg1">
            <a:lumMod val="7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200" b="1">
              <a:solidFill>
                <a:schemeClr val="tx1"/>
              </a:solidFill>
            </a:rPr>
            <a:t>Do Not</a:t>
          </a:r>
          <a:r>
            <a:rPr lang="en-US" sz="1200" b="1" baseline="0">
              <a:solidFill>
                <a:schemeClr val="tx1"/>
              </a:solidFill>
            </a:rPr>
            <a:t> Modify</a:t>
          </a:r>
          <a:endParaRPr lang="en-US" sz="1200" b="1">
            <a:solidFill>
              <a:schemeClr val="tx1"/>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2BB6C-D7A0-B941-B08C-85B13D9BE4F2}">
  <dimension ref="B1:AC44"/>
  <sheetViews>
    <sheetView topLeftCell="A2" zoomScale="125" zoomScaleNormal="150" workbookViewId="0">
      <selection activeCell="AE26" sqref="AE26"/>
    </sheetView>
  </sheetViews>
  <sheetFormatPr baseColWidth="10" defaultColWidth="11" defaultRowHeight="22" customHeight="1" x14ac:dyDescent="0.2"/>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bestFit="1"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spans="2:29" ht="11" customHeight="1" thickBot="1" x14ac:dyDescent="0.25"/>
    <row r="2" spans="2:29" ht="22" customHeight="1" x14ac:dyDescent="0.2">
      <c r="B2" s="111" t="s">
        <v>0</v>
      </c>
      <c r="C2" s="112"/>
      <c r="D2" s="112"/>
      <c r="E2" s="112"/>
      <c r="F2" s="112"/>
      <c r="G2" s="112"/>
      <c r="H2" s="112"/>
      <c r="I2" s="112"/>
      <c r="J2" s="113"/>
    </row>
    <row r="3" spans="2:29" ht="22" customHeight="1" thickBot="1" x14ac:dyDescent="0.25">
      <c r="B3" s="114"/>
      <c r="C3" s="115"/>
      <c r="D3" s="115"/>
      <c r="E3" s="115"/>
      <c r="F3" s="115"/>
      <c r="G3" s="115"/>
      <c r="H3" s="115"/>
      <c r="I3" s="115"/>
      <c r="J3" s="116"/>
    </row>
    <row r="4" spans="2:29" ht="22" customHeight="1" thickBot="1" x14ac:dyDescent="0.25">
      <c r="B4" s="50" t="s">
        <v>1</v>
      </c>
      <c r="C4" s="57"/>
      <c r="D4" s="136"/>
      <c r="E4" s="51" t="s">
        <v>2</v>
      </c>
      <c r="F4" s="62"/>
      <c r="G4" s="117"/>
      <c r="H4" s="52" t="s">
        <v>3</v>
      </c>
      <c r="I4" s="120"/>
      <c r="J4" s="121"/>
      <c r="M4" s="27" t="s">
        <v>4</v>
      </c>
      <c r="N4" s="28" t="s">
        <v>5</v>
      </c>
      <c r="O4" s="28" t="s">
        <v>6</v>
      </c>
      <c r="P4" s="28" t="s">
        <v>7</v>
      </c>
      <c r="Q4" s="35" t="s">
        <v>8</v>
      </c>
      <c r="R4" s="37" t="s">
        <v>9</v>
      </c>
      <c r="S4" s="29" t="s">
        <v>10</v>
      </c>
      <c r="T4" s="29" t="s">
        <v>11</v>
      </c>
      <c r="U4" s="30" t="s">
        <v>12</v>
      </c>
      <c r="V4" s="24" t="s">
        <v>13</v>
      </c>
      <c r="W4" s="24" t="s">
        <v>14</v>
      </c>
      <c r="X4" s="24" t="s">
        <v>15</v>
      </c>
      <c r="Y4" s="24" t="s">
        <v>16</v>
      </c>
      <c r="Z4" s="24" t="s">
        <v>17</v>
      </c>
      <c r="AA4" s="38" t="s">
        <v>18</v>
      </c>
      <c r="AB4" s="25" t="s">
        <v>5</v>
      </c>
      <c r="AC4" s="26" t="s">
        <v>8</v>
      </c>
    </row>
    <row r="5" spans="2:29" ht="22" customHeight="1" thickBot="1" x14ac:dyDescent="0.25">
      <c r="B5" s="2" t="s">
        <v>19</v>
      </c>
      <c r="C5" s="58"/>
      <c r="D5" s="137"/>
      <c r="E5" s="43" t="s">
        <v>20</v>
      </c>
      <c r="F5" s="60"/>
      <c r="G5" s="118"/>
      <c r="H5" s="47" t="s">
        <v>21</v>
      </c>
      <c r="I5" s="122"/>
      <c r="J5" s="123"/>
      <c r="M5" s="27" t="str">
        <f>L13</f>
        <v>No Experience</v>
      </c>
      <c r="N5" s="31" t="str">
        <f>L20</f>
        <v>Rejected</v>
      </c>
      <c r="O5" s="31" t="str">
        <f>L27</f>
        <v>Rejected</v>
      </c>
      <c r="P5" s="31" t="str">
        <f>L35</f>
        <v>-</v>
      </c>
      <c r="Q5" s="36" t="str">
        <f>L38</f>
        <v>No Experience</v>
      </c>
      <c r="R5" s="37">
        <f>COUNTIF(M5:Q5,"SAL2")</f>
        <v>0</v>
      </c>
      <c r="S5" s="29">
        <f>COUNTIF(M5:Q5,"SAL1")+COUNTIF(M5:Q5,"Sr Associate")</f>
        <v>0</v>
      </c>
      <c r="T5" s="29">
        <f>COUNTIF(M5:P5,"Associate")+COUNTIF(M5:P5,"AL2")+COUNTIF(M5:P5,"AL1")</f>
        <v>0</v>
      </c>
      <c r="U5" s="30">
        <f>COUNTIF(N5:O5,"REJECTED")</f>
        <v>2</v>
      </c>
      <c r="V5" s="32" t="b">
        <f>U5&gt;0</f>
        <v>1</v>
      </c>
      <c r="W5" s="32" t="b">
        <f>AND(R5&gt;=3,O5="SAL2",T5=0,NOT(V5))</f>
        <v>0</v>
      </c>
      <c r="X5" s="32" t="b">
        <f>AND(OR(AND(O5="SAL1",N5&lt;&gt;"AL1",N5&lt;&gt;"AL2"),AND(O5="SAL2",N5&lt;&gt;"AL1")),NOT(V5),NOT(W5))</f>
        <v>0</v>
      </c>
      <c r="Y5" s="32" t="b">
        <f>AND(N5="AL1",O5="Associate",Q5="No Experience",NOT(V5),NOT(W5),NOT(X5))</f>
        <v>0</v>
      </c>
      <c r="Z5" s="32" t="b">
        <f>AND(NOT(V5),NOT(W5),NOT(X5),NOT(Y5))</f>
        <v>0</v>
      </c>
      <c r="AA5" s="39" t="str">
        <f>IF(V5,"REJECTED",IF(W5,"Lead Experience Engineer",IF(X5,"Senior Experience Engineer",IF(Y5,"Experience Engineer L1",IF(Z5,"Experience Engineer L2","Thinking")))))</f>
        <v>REJECTED</v>
      </c>
      <c r="AB5" s="33" t="b">
        <f>OR(AND(AA5="AL2",N5="AL1"),AND(AA5="SAL1",N5="AL2"),AND(AA5="SAL2",N5="SAL1"))</f>
        <v>0</v>
      </c>
      <c r="AC5" s="34" t="b">
        <f>AND(NOT(V5),OR(Q5="No Experience",AND(OR(AA5="SAL1",AA5="SAL2"),Q5="Associate")))</f>
        <v>0</v>
      </c>
    </row>
    <row r="6" spans="2:29" ht="22" customHeight="1" x14ac:dyDescent="0.2">
      <c r="B6" s="2" t="s">
        <v>22</v>
      </c>
      <c r="C6" s="59"/>
      <c r="D6" s="137"/>
      <c r="E6" s="42" t="s">
        <v>23</v>
      </c>
      <c r="F6" s="60"/>
      <c r="G6" s="118"/>
      <c r="H6" s="11" t="s">
        <v>24</v>
      </c>
      <c r="I6" s="124"/>
      <c r="J6" s="125"/>
    </row>
    <row r="7" spans="2:29" ht="22" customHeight="1" x14ac:dyDescent="0.2">
      <c r="B7" s="2" t="s">
        <v>25</v>
      </c>
      <c r="C7" s="60"/>
      <c r="D7" s="137"/>
      <c r="E7" s="42" t="s">
        <v>26</v>
      </c>
      <c r="F7" s="53" t="str">
        <f>AA5</f>
        <v>REJECTED</v>
      </c>
      <c r="G7" s="118"/>
      <c r="H7" s="128" t="s">
        <v>27</v>
      </c>
      <c r="I7" s="130"/>
      <c r="J7" s="131"/>
    </row>
    <row r="8" spans="2:29" ht="22" customHeight="1" thickBot="1" x14ac:dyDescent="0.25">
      <c r="B8" s="41" t="s">
        <v>28</v>
      </c>
      <c r="C8" s="61"/>
      <c r="D8" s="138"/>
      <c r="E8" s="44" t="s">
        <v>29</v>
      </c>
      <c r="F8" s="46" t="str">
        <f>IF(AB5,IF(AC5,"HTML/CSS &amp; NFR ","HTML/CSS"),IF(AC5,"NFR","No trainings required"))</f>
        <v>No trainings required</v>
      </c>
      <c r="G8" s="119"/>
      <c r="H8" s="129"/>
      <c r="I8" s="132"/>
      <c r="J8" s="133"/>
    </row>
    <row r="9" spans="2:29" ht="33" customHeight="1" thickBot="1" x14ac:dyDescent="0.25">
      <c r="B9" s="126" t="s">
        <v>30</v>
      </c>
      <c r="C9" s="127"/>
      <c r="D9" s="139"/>
      <c r="E9" s="139"/>
      <c r="F9" s="139"/>
      <c r="G9" s="139"/>
      <c r="H9" s="139"/>
      <c r="I9" s="139"/>
      <c r="J9" s="140"/>
    </row>
    <row r="10" spans="2:29" ht="33" customHeight="1" thickBot="1" x14ac:dyDescent="0.25">
      <c r="B10" s="134" t="s">
        <v>31</v>
      </c>
      <c r="C10" s="135"/>
      <c r="D10" s="141"/>
      <c r="E10" s="141"/>
      <c r="F10" s="141"/>
      <c r="G10" s="141"/>
      <c r="H10" s="141"/>
      <c r="I10" s="141"/>
      <c r="J10" s="142"/>
    </row>
    <row r="11" spans="2:29" ht="72" customHeight="1" thickBot="1" x14ac:dyDescent="0.25">
      <c r="B11" s="56" t="s">
        <v>32</v>
      </c>
      <c r="C11" s="63" t="s">
        <v>33</v>
      </c>
      <c r="D11" s="69"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9"/>
      <c r="F11" s="69"/>
      <c r="G11" s="69"/>
      <c r="H11" s="69"/>
      <c r="I11" s="69"/>
      <c r="J11" s="70"/>
    </row>
    <row r="12" spans="2:29" s="6" customFormat="1" ht="22" customHeight="1" thickBot="1" x14ac:dyDescent="0.25">
      <c r="B12" s="48" t="s">
        <v>34</v>
      </c>
      <c r="C12" s="90" t="s">
        <v>35</v>
      </c>
      <c r="D12" s="91"/>
      <c r="E12" s="92"/>
      <c r="F12" s="49" t="s">
        <v>36</v>
      </c>
      <c r="G12" s="66" t="s">
        <v>37</v>
      </c>
      <c r="H12" s="67"/>
      <c r="I12" s="67"/>
      <c r="J12" s="68"/>
    </row>
    <row r="13" spans="2:29" ht="40" customHeight="1" thickBot="1" x14ac:dyDescent="0.25">
      <c r="B13" s="83" t="s">
        <v>38</v>
      </c>
      <c r="C13" s="84"/>
      <c r="D13" s="84"/>
      <c r="E13" s="84"/>
      <c r="F13" s="84"/>
      <c r="G13" s="4"/>
      <c r="H13" s="4"/>
      <c r="I13" s="5" t="s">
        <v>39</v>
      </c>
      <c r="J13" s="7">
        <f>AVERAGE(K14:K19)/3*100</f>
        <v>0</v>
      </c>
      <c r="K13" s="22"/>
      <c r="L13" t="str">
        <f>IF(J13&lt;10, "No Experience", "SAL2")</f>
        <v>No Experience</v>
      </c>
    </row>
    <row r="14" spans="2:29" ht="55" customHeight="1" thickBot="1" x14ac:dyDescent="0.25">
      <c r="B14" s="85" t="s">
        <v>4</v>
      </c>
      <c r="C14" s="80" t="s">
        <v>40</v>
      </c>
      <c r="D14" s="81"/>
      <c r="E14" s="82"/>
      <c r="F14" s="64" t="s">
        <v>41</v>
      </c>
      <c r="G14" s="71"/>
      <c r="H14" s="72"/>
      <c r="I14" s="72"/>
      <c r="J14" s="73"/>
      <c r="K14">
        <f>VLOOKUP(F14,Data!$D$3:$G$7,4,FALSE)</f>
        <v>0</v>
      </c>
    </row>
    <row r="15" spans="2:29" ht="36" customHeight="1" thickBot="1" x14ac:dyDescent="0.25">
      <c r="B15" s="86"/>
      <c r="C15" s="80" t="s">
        <v>42</v>
      </c>
      <c r="D15" s="81"/>
      <c r="E15" s="82"/>
      <c r="F15" s="64" t="s">
        <v>41</v>
      </c>
      <c r="G15" s="74"/>
      <c r="H15" s="75"/>
      <c r="I15" s="75"/>
      <c r="J15" s="76"/>
      <c r="K15">
        <f>VLOOKUP(F15,Data!$D$3:$G$7,4,FALSE)</f>
        <v>0</v>
      </c>
    </row>
    <row r="16" spans="2:29" ht="37" customHeight="1" thickBot="1" x14ac:dyDescent="0.25">
      <c r="B16" s="86"/>
      <c r="C16" s="80" t="s">
        <v>43</v>
      </c>
      <c r="D16" s="81"/>
      <c r="E16" s="82"/>
      <c r="F16" s="64" t="s">
        <v>41</v>
      </c>
      <c r="G16" s="74"/>
      <c r="H16" s="75"/>
      <c r="I16" s="75"/>
      <c r="J16" s="76"/>
      <c r="K16">
        <f>VLOOKUP(F16,Data!$D$3:$G$7,4,FALSE)</f>
        <v>0</v>
      </c>
    </row>
    <row r="17" spans="2:14" ht="51" customHeight="1" thickBot="1" x14ac:dyDescent="0.25">
      <c r="B17" s="86"/>
      <c r="C17" s="87" t="s">
        <v>44</v>
      </c>
      <c r="D17" s="88"/>
      <c r="E17" s="89"/>
      <c r="F17" s="64" t="s">
        <v>41</v>
      </c>
      <c r="G17" s="74"/>
      <c r="H17" s="75"/>
      <c r="I17" s="75"/>
      <c r="J17" s="76"/>
      <c r="K17">
        <f>VLOOKUP(F17,Data!$D$3:$G$7,4,FALSE)</f>
        <v>0</v>
      </c>
    </row>
    <row r="18" spans="2:14" ht="40" customHeight="1" thickBot="1" x14ac:dyDescent="0.25">
      <c r="B18" s="86"/>
      <c r="C18" s="80" t="s">
        <v>45</v>
      </c>
      <c r="D18" s="81"/>
      <c r="E18" s="82"/>
      <c r="F18" s="64" t="s">
        <v>41</v>
      </c>
      <c r="G18" s="77"/>
      <c r="H18" s="78"/>
      <c r="I18" s="78"/>
      <c r="J18" s="79"/>
      <c r="K18">
        <f>VLOOKUP(F18,Data!$D$3:$G$7,4,FALSE)</f>
        <v>0</v>
      </c>
    </row>
    <row r="19" spans="2:14" ht="86" customHeight="1" thickBot="1" x14ac:dyDescent="0.25">
      <c r="B19" s="17" t="s">
        <v>46</v>
      </c>
      <c r="C19" s="101" t="s">
        <v>47</v>
      </c>
      <c r="D19" s="102"/>
      <c r="E19" s="103"/>
      <c r="F19" s="64" t="s">
        <v>41</v>
      </c>
      <c r="G19" s="96"/>
      <c r="H19" s="97"/>
      <c r="I19" s="97"/>
      <c r="J19" s="98"/>
      <c r="K19">
        <f>VLOOKUP(F19,Data!$D$3:$G$7,4,FALSE)</f>
        <v>0</v>
      </c>
    </row>
    <row r="20" spans="2:14" ht="40" customHeight="1" thickBot="1" x14ac:dyDescent="0.25">
      <c r="B20" s="83" t="s">
        <v>48</v>
      </c>
      <c r="C20" s="150"/>
      <c r="D20" s="150"/>
      <c r="E20" s="150"/>
      <c r="F20" s="151"/>
      <c r="G20" s="8"/>
      <c r="H20" s="8"/>
      <c r="I20" s="9" t="s">
        <v>39</v>
      </c>
      <c r="J20" s="10">
        <f>AVERAGE(K21:K26)/3*100</f>
        <v>0</v>
      </c>
      <c r="K20" s="22"/>
      <c r="L20" s="22" t="str">
        <f>IF(J20&lt;30,"Rejected",IF(J20&lt;40,"AL1",IF(J20&lt;60,"AL2",IF(J20&lt;70,"SAL1","SAL2"))))</f>
        <v>Rejected</v>
      </c>
      <c r="M20" s="22"/>
      <c r="N20" s="22"/>
    </row>
    <row r="21" spans="2:14" ht="18" thickBot="1" x14ac:dyDescent="0.25">
      <c r="B21" s="144" t="s">
        <v>49</v>
      </c>
      <c r="C21" s="87" t="s">
        <v>50</v>
      </c>
      <c r="D21" s="88"/>
      <c r="E21" s="89"/>
      <c r="F21" s="64" t="s">
        <v>41</v>
      </c>
      <c r="G21" s="71"/>
      <c r="H21" s="72"/>
      <c r="I21" s="72"/>
      <c r="J21" s="73"/>
      <c r="K21">
        <f>VLOOKUP(F21,Data!$F$3:$G$7,2,FALSE)</f>
        <v>0</v>
      </c>
    </row>
    <row r="22" spans="2:14" ht="41" customHeight="1" thickBot="1" x14ac:dyDescent="0.25">
      <c r="B22" s="145"/>
      <c r="C22" s="87" t="s">
        <v>51</v>
      </c>
      <c r="D22" s="88"/>
      <c r="E22" s="89"/>
      <c r="F22" s="64" t="s">
        <v>41</v>
      </c>
      <c r="G22" s="74"/>
      <c r="H22" s="75"/>
      <c r="I22" s="75"/>
      <c r="J22" s="76"/>
      <c r="K22">
        <f>VLOOKUP(F22,Data!$F$3:$G$7,2,FALSE)</f>
        <v>0</v>
      </c>
    </row>
    <row r="23" spans="2:14" ht="38" customHeight="1" thickBot="1" x14ac:dyDescent="0.25">
      <c r="B23" s="146"/>
      <c r="C23" s="87" t="s">
        <v>52</v>
      </c>
      <c r="D23" s="88"/>
      <c r="E23" s="89"/>
      <c r="F23" s="64" t="s">
        <v>41</v>
      </c>
      <c r="G23" s="77"/>
      <c r="H23" s="78"/>
      <c r="I23" s="78"/>
      <c r="J23" s="79"/>
      <c r="K23">
        <f>VLOOKUP(F23,Data!$F$3:$G$7,2,FALSE)</f>
        <v>0</v>
      </c>
    </row>
    <row r="24" spans="2:14" ht="39" customHeight="1" thickBot="1" x14ac:dyDescent="0.25">
      <c r="B24" s="99" t="s">
        <v>53</v>
      </c>
      <c r="C24" s="147" t="s">
        <v>54</v>
      </c>
      <c r="D24" s="148"/>
      <c r="E24" s="149"/>
      <c r="F24" s="65" t="s">
        <v>41</v>
      </c>
      <c r="G24" s="72"/>
      <c r="H24" s="72"/>
      <c r="I24" s="72"/>
      <c r="J24" s="73"/>
      <c r="K24">
        <f>VLOOKUP(F24,Data!$F$3:$G$7,2,FALSE)</f>
        <v>0</v>
      </c>
    </row>
    <row r="25" spans="2:14" ht="55" customHeight="1" thickBot="1" x14ac:dyDescent="0.25">
      <c r="B25" s="99"/>
      <c r="C25" s="147" t="s">
        <v>55</v>
      </c>
      <c r="D25" s="148"/>
      <c r="E25" s="149"/>
      <c r="F25" s="65" t="s">
        <v>41</v>
      </c>
      <c r="G25" s="75"/>
      <c r="H25" s="75"/>
      <c r="I25" s="75"/>
      <c r="J25" s="76"/>
      <c r="K25">
        <f>VLOOKUP(F25,Data!$F$3:$G$7,2,FALSE)</f>
        <v>0</v>
      </c>
    </row>
    <row r="26" spans="2:14" ht="54" customHeight="1" thickBot="1" x14ac:dyDescent="0.25">
      <c r="B26" s="100"/>
      <c r="C26" s="147" t="s">
        <v>56</v>
      </c>
      <c r="D26" s="148"/>
      <c r="E26" s="149"/>
      <c r="F26" s="65" t="s">
        <v>41</v>
      </c>
      <c r="G26" s="78"/>
      <c r="H26" s="78"/>
      <c r="I26" s="78"/>
      <c r="J26" s="79"/>
      <c r="K26">
        <f>VLOOKUP(F26,Data!$F$3:$G$7,2,FALSE)</f>
        <v>0</v>
      </c>
    </row>
    <row r="27" spans="2:14" ht="40" customHeight="1" thickBot="1" x14ac:dyDescent="0.25">
      <c r="B27" s="108" t="s">
        <v>57</v>
      </c>
      <c r="C27" s="109"/>
      <c r="D27" s="109"/>
      <c r="E27" s="109"/>
      <c r="F27" s="109"/>
      <c r="G27" s="14"/>
      <c r="H27" s="14"/>
      <c r="I27" s="15" t="s">
        <v>39</v>
      </c>
      <c r="J27" s="16">
        <f>(SUM(K28:K34)/(5*3))*100</f>
        <v>0</v>
      </c>
      <c r="K27" s="22"/>
      <c r="L27" s="22" t="str">
        <f>IF(J27&lt;40,"Rejected",IF(J27&lt;60,"Associate",IF(J27&lt;70,"SAL1",IF(K31&gt;=1,"SAL2","SAL1"))))</f>
        <v>Rejected</v>
      </c>
    </row>
    <row r="28" spans="2:14" ht="89" customHeight="1" thickBot="1" x14ac:dyDescent="0.25">
      <c r="B28" s="144" t="s">
        <v>58</v>
      </c>
      <c r="C28" s="101" t="s">
        <v>59</v>
      </c>
      <c r="D28" s="102"/>
      <c r="E28" s="103"/>
      <c r="F28" s="65" t="s">
        <v>41</v>
      </c>
      <c r="G28" s="71"/>
      <c r="H28" s="72"/>
      <c r="I28" s="72"/>
      <c r="J28" s="73"/>
      <c r="K28">
        <f>VLOOKUP(F28,Data!$F$3:$G$7,2,FALSE)</f>
        <v>0</v>
      </c>
    </row>
    <row r="29" spans="2:14" ht="102" customHeight="1" thickBot="1" x14ac:dyDescent="0.25">
      <c r="B29" s="145"/>
      <c r="C29" s="101" t="s">
        <v>60</v>
      </c>
      <c r="D29" s="102"/>
      <c r="E29" s="103"/>
      <c r="F29" s="65" t="s">
        <v>41</v>
      </c>
      <c r="G29" s="77"/>
      <c r="H29" s="78"/>
      <c r="I29" s="78"/>
      <c r="J29" s="79"/>
      <c r="K29">
        <f>VLOOKUP(F29,Data!$F$3:$G$7,2,FALSE)</f>
        <v>0</v>
      </c>
    </row>
    <row r="30" spans="2:14" ht="134" customHeight="1" thickBot="1" x14ac:dyDescent="0.25">
      <c r="B30" s="145"/>
      <c r="C30" s="101" t="s">
        <v>61</v>
      </c>
      <c r="D30" s="102"/>
      <c r="E30" s="103"/>
      <c r="F30" s="64" t="s">
        <v>41</v>
      </c>
      <c r="G30" s="96"/>
      <c r="H30" s="97"/>
      <c r="I30" s="97"/>
      <c r="J30" s="98"/>
      <c r="K30">
        <f>VLOOKUP(F30,Data!$D$3:$G$7,4,FALSE)</f>
        <v>0</v>
      </c>
    </row>
    <row r="31" spans="2:14" ht="109" customHeight="1" thickBot="1" x14ac:dyDescent="0.25">
      <c r="B31" s="146"/>
      <c r="C31" s="101" t="s">
        <v>62</v>
      </c>
      <c r="D31" s="102"/>
      <c r="E31" s="103"/>
      <c r="F31" s="64" t="s">
        <v>41</v>
      </c>
      <c r="G31" s="96"/>
      <c r="H31" s="97"/>
      <c r="I31" s="97"/>
      <c r="J31" s="98"/>
      <c r="K31">
        <f>VLOOKUP(F31,Data!$D$3:$G$7,4,FALSE)</f>
        <v>0</v>
      </c>
    </row>
    <row r="32" spans="2:14" ht="70" customHeight="1" thickBot="1" x14ac:dyDescent="0.25">
      <c r="B32" s="144" t="s">
        <v>63</v>
      </c>
      <c r="C32" s="102" t="s">
        <v>64</v>
      </c>
      <c r="D32" s="102"/>
      <c r="E32" s="103"/>
      <c r="F32" s="65" t="s">
        <v>41</v>
      </c>
      <c r="G32" s="96"/>
      <c r="H32" s="97"/>
      <c r="I32" s="97"/>
      <c r="J32" s="98"/>
      <c r="K32">
        <f>VLOOKUP(F32,Data!$F$3:$G$7,2,FALSE)/3</f>
        <v>0</v>
      </c>
    </row>
    <row r="33" spans="2:14" ht="49" customHeight="1" thickBot="1" x14ac:dyDescent="0.25">
      <c r="B33" s="145"/>
      <c r="C33" s="102" t="s">
        <v>65</v>
      </c>
      <c r="D33" s="102"/>
      <c r="E33" s="103"/>
      <c r="F33" s="65" t="s">
        <v>41</v>
      </c>
      <c r="G33" s="96"/>
      <c r="H33" s="97"/>
      <c r="I33" s="97"/>
      <c r="J33" s="98"/>
      <c r="K33">
        <f>VLOOKUP(F33,Data!$F$3:$G$7,2,FALSE)/3</f>
        <v>0</v>
      </c>
    </row>
    <row r="34" spans="2:14" ht="65" customHeight="1" thickBot="1" x14ac:dyDescent="0.25">
      <c r="B34" s="146"/>
      <c r="C34" s="102" t="s">
        <v>66</v>
      </c>
      <c r="D34" s="102"/>
      <c r="E34" s="103"/>
      <c r="F34" s="64" t="s">
        <v>41</v>
      </c>
      <c r="G34" s="96"/>
      <c r="H34" s="97"/>
      <c r="I34" s="97"/>
      <c r="J34" s="98"/>
      <c r="K34">
        <f>VLOOKUP(F34,Data!$D$3:$G$7,4,FALSE)/3</f>
        <v>0</v>
      </c>
    </row>
    <row r="35" spans="2:14" ht="40" customHeight="1" thickBot="1" x14ac:dyDescent="0.25">
      <c r="B35" s="143" t="s">
        <v>67</v>
      </c>
      <c r="C35" s="109"/>
      <c r="D35" s="109"/>
      <c r="E35" s="109"/>
      <c r="F35" s="109"/>
      <c r="G35" s="14"/>
      <c r="H35" s="14"/>
      <c r="I35" s="15" t="s">
        <v>39</v>
      </c>
      <c r="J35" s="16">
        <f>AVERAGE(K36:K37)/3*100</f>
        <v>0</v>
      </c>
      <c r="K35" s="22"/>
      <c r="L35" s="22" t="str">
        <f>IF(J35&lt;30,"-","SAL2")</f>
        <v>-</v>
      </c>
    </row>
    <row r="36" spans="2:14" ht="37" customHeight="1" thickBot="1" x14ac:dyDescent="0.25">
      <c r="B36" s="17" t="s">
        <v>68</v>
      </c>
      <c r="C36" s="101" t="s">
        <v>69</v>
      </c>
      <c r="D36" s="102"/>
      <c r="E36" s="103"/>
      <c r="F36" s="64" t="s">
        <v>41</v>
      </c>
      <c r="G36" s="71"/>
      <c r="H36" s="72"/>
      <c r="I36" s="72"/>
      <c r="J36" s="73"/>
      <c r="K36">
        <f>VLOOKUP(F36,Data!$D$3:$G$7,4,FALSE)</f>
        <v>0</v>
      </c>
      <c r="N36" s="22"/>
    </row>
    <row r="37" spans="2:14" ht="86" customHeight="1" thickBot="1" x14ac:dyDescent="0.25">
      <c r="B37" s="17" t="s">
        <v>70</v>
      </c>
      <c r="C37" s="101" t="s">
        <v>71</v>
      </c>
      <c r="D37" s="102"/>
      <c r="E37" s="103"/>
      <c r="F37" s="64" t="s">
        <v>41</v>
      </c>
      <c r="G37" s="77"/>
      <c r="H37" s="78"/>
      <c r="I37" s="78"/>
      <c r="J37" s="79"/>
      <c r="K37">
        <f>VLOOKUP(F37,Data!$D$3:$G$7,4,FALSE)</f>
        <v>0</v>
      </c>
    </row>
    <row r="38" spans="2:14" ht="40" customHeight="1" thickBot="1" x14ac:dyDescent="0.25">
      <c r="B38" s="108" t="s">
        <v>72</v>
      </c>
      <c r="C38" s="109"/>
      <c r="D38" s="109"/>
      <c r="E38" s="109"/>
      <c r="F38" s="109"/>
      <c r="G38" s="14"/>
      <c r="H38" s="14"/>
      <c r="I38" s="15" t="s">
        <v>39</v>
      </c>
      <c r="J38" s="16">
        <f>AVERAGE(K39:K41)/3*100</f>
        <v>0</v>
      </c>
      <c r="K38" s="22"/>
      <c r="L38" s="22" t="str">
        <f>IF(J38&lt;10,"No Experience",IF(J38&lt;20,"Associate","SAL2"))</f>
        <v>No Experience</v>
      </c>
    </row>
    <row r="39" spans="2:14" ht="155" customHeight="1" thickBot="1" x14ac:dyDescent="0.25">
      <c r="B39" s="17" t="s">
        <v>73</v>
      </c>
      <c r="C39" s="104" t="s">
        <v>74</v>
      </c>
      <c r="D39" s="107"/>
      <c r="E39" s="105"/>
      <c r="F39" s="64" t="s">
        <v>41</v>
      </c>
      <c r="G39" s="96"/>
      <c r="H39" s="97"/>
      <c r="I39" s="97"/>
      <c r="J39" s="98"/>
      <c r="K39">
        <f>VLOOKUP(F39,Data!$D$3:$G$7,4,FALSE)</f>
        <v>0</v>
      </c>
    </row>
    <row r="40" spans="2:14" ht="54" customHeight="1" thickBot="1" x14ac:dyDescent="0.25">
      <c r="B40" s="17" t="s">
        <v>75</v>
      </c>
      <c r="C40" s="104" t="s">
        <v>76</v>
      </c>
      <c r="D40" s="107"/>
      <c r="E40" s="105"/>
      <c r="F40" s="64" t="s">
        <v>41</v>
      </c>
      <c r="G40" s="96"/>
      <c r="H40" s="97"/>
      <c r="I40" s="97"/>
      <c r="J40" s="98"/>
      <c r="K40">
        <f>VLOOKUP(F40,Data!$D$3:$G$7,4,FALSE)</f>
        <v>0</v>
      </c>
    </row>
    <row r="41" spans="2:14" ht="103" customHeight="1" thickBot="1" x14ac:dyDescent="0.25">
      <c r="B41" s="17" t="s">
        <v>77</v>
      </c>
      <c r="C41" s="106" t="s">
        <v>78</v>
      </c>
      <c r="D41" s="107"/>
      <c r="E41" s="105"/>
      <c r="F41" s="64" t="s">
        <v>41</v>
      </c>
      <c r="G41" s="96"/>
      <c r="H41" s="97"/>
      <c r="I41" s="97"/>
      <c r="J41" s="98"/>
      <c r="K41">
        <f>VLOOKUP(F41,Data!$D$3:$G$7,4,FALSE)</f>
        <v>0</v>
      </c>
    </row>
    <row r="42" spans="2:14" ht="40" customHeight="1" thickBot="1" x14ac:dyDescent="0.25">
      <c r="B42" s="108" t="s">
        <v>79</v>
      </c>
      <c r="C42" s="109"/>
      <c r="D42" s="109"/>
      <c r="E42" s="109"/>
      <c r="F42" s="109"/>
      <c r="G42" s="109"/>
      <c r="H42" s="109"/>
      <c r="I42" s="109"/>
      <c r="J42" s="110"/>
    </row>
    <row r="43" spans="2:14" ht="57" customHeight="1" thickBot="1" x14ac:dyDescent="0.25">
      <c r="B43" s="19" t="s">
        <v>80</v>
      </c>
      <c r="C43" s="104" t="s">
        <v>81</v>
      </c>
      <c r="D43" s="105"/>
      <c r="E43" s="20" t="s">
        <v>82</v>
      </c>
      <c r="F43" s="18" t="s">
        <v>83</v>
      </c>
      <c r="G43" s="96"/>
      <c r="H43" s="97"/>
      <c r="I43" s="97"/>
      <c r="J43" s="98"/>
    </row>
    <row r="44" spans="2:14" ht="22" customHeight="1" thickBot="1" x14ac:dyDescent="0.25">
      <c r="B44" s="93" t="s">
        <v>84</v>
      </c>
      <c r="C44" s="94"/>
      <c r="D44" s="94"/>
      <c r="E44" s="94"/>
      <c r="F44" s="95"/>
      <c r="G44" s="96"/>
      <c r="H44" s="97"/>
      <c r="I44" s="97"/>
      <c r="J44" s="98"/>
    </row>
  </sheetData>
  <mergeCells count="68">
    <mergeCell ref="C26:E26"/>
    <mergeCell ref="C21:E21"/>
    <mergeCell ref="C22:E22"/>
    <mergeCell ref="C23:E23"/>
    <mergeCell ref="G19:J19"/>
    <mergeCell ref="C25:E25"/>
    <mergeCell ref="C24:E24"/>
    <mergeCell ref="B20:F20"/>
    <mergeCell ref="B21:B23"/>
    <mergeCell ref="C39:E39"/>
    <mergeCell ref="G36:J37"/>
    <mergeCell ref="B35:F35"/>
    <mergeCell ref="B28:B31"/>
    <mergeCell ref="C28:E28"/>
    <mergeCell ref="C31:E31"/>
    <mergeCell ref="G34:J34"/>
    <mergeCell ref="B32:B34"/>
    <mergeCell ref="G28:J29"/>
    <mergeCell ref="C29:E29"/>
    <mergeCell ref="G31:J31"/>
    <mergeCell ref="C32:E32"/>
    <mergeCell ref="G32:J32"/>
    <mergeCell ref="C33:E33"/>
    <mergeCell ref="G33:J33"/>
    <mergeCell ref="C30:E30"/>
    <mergeCell ref="C34:E34"/>
    <mergeCell ref="B2:J3"/>
    <mergeCell ref="G4:G8"/>
    <mergeCell ref="I4:J4"/>
    <mergeCell ref="I5:J5"/>
    <mergeCell ref="I6:J6"/>
    <mergeCell ref="B9:C9"/>
    <mergeCell ref="H7:H8"/>
    <mergeCell ref="I7:J8"/>
    <mergeCell ref="B10:C10"/>
    <mergeCell ref="D4:D8"/>
    <mergeCell ref="D9:J9"/>
    <mergeCell ref="D10:J10"/>
    <mergeCell ref="B27:F27"/>
    <mergeCell ref="C19:E19"/>
    <mergeCell ref="G30:J30"/>
    <mergeCell ref="B44:F44"/>
    <mergeCell ref="G44:J44"/>
    <mergeCell ref="B24:B26"/>
    <mergeCell ref="G24:J26"/>
    <mergeCell ref="G21:J23"/>
    <mergeCell ref="C36:E36"/>
    <mergeCell ref="C43:D43"/>
    <mergeCell ref="C41:E41"/>
    <mergeCell ref="B42:J42"/>
    <mergeCell ref="G40:J40"/>
    <mergeCell ref="G41:J41"/>
    <mergeCell ref="G43:J43"/>
    <mergeCell ref="C40:E40"/>
    <mergeCell ref="G39:J39"/>
    <mergeCell ref="B38:F38"/>
    <mergeCell ref="C37:E37"/>
    <mergeCell ref="G12:J12"/>
    <mergeCell ref="D11:J11"/>
    <mergeCell ref="G14:J18"/>
    <mergeCell ref="C16:E16"/>
    <mergeCell ref="C18:E18"/>
    <mergeCell ref="B13:F13"/>
    <mergeCell ref="B14:B18"/>
    <mergeCell ref="C17:E17"/>
    <mergeCell ref="C12:E12"/>
    <mergeCell ref="C14:E14"/>
    <mergeCell ref="C15:E15"/>
  </mergeCells>
  <conditionalFormatting sqref="F7">
    <cfRule type="cellIs" dxfId="2" priority="1" operator="equal">
      <formula>"REJECTED"</formula>
    </cfRule>
    <cfRule type="cellIs" dxfId="1" priority="2" stopIfTrue="1" operator="equal">
      <formula>"REJECTED"</formula>
    </cfRule>
  </conditionalFormatting>
  <dataValidations count="8">
    <dataValidation type="list" allowBlank="1" showInputMessage="1" showErrorMessage="1" sqref="F14:F19 F39:F41 F36:F37 F34 F30:F31" xr:uid="{3E349F8A-97CD-F741-973B-DC3379784B6A}">
      <formula1>Scoring_Architecture</formula1>
    </dataValidation>
    <dataValidation type="list" allowBlank="1" showInputMessage="1" showErrorMessage="1" sqref="F21:F26 F32:F33 F28:F29" xr:uid="{6337DF94-CEFE-E140-ADA3-61C250FAFF3C}">
      <formula1>Scoring_Development</formula1>
    </dataValidation>
    <dataValidation type="list" allowBlank="1" showInputMessage="1" showErrorMessage="1" sqref="C7 I5:J5" xr:uid="{E141E458-696E-104B-8DCE-277E4BF7A3F1}">
      <formula1>Career_Stage</formula1>
    </dataValidation>
    <dataValidation type="list" allowBlank="1" showInputMessage="1" showErrorMessage="1" sqref="I4:J4" xr:uid="{D9D1BDFD-23D1-D247-91D8-3780E6191A9A}">
      <formula1>Interview_Outcome</formula1>
    </dataValidation>
    <dataValidation type="list" allowBlank="1" showInputMessage="1" showErrorMessage="1" sqref="I6:J6" xr:uid="{A3A514DC-752B-0747-9643-5F22FE912AE8}">
      <formula1>Rejection_Reason</formula1>
    </dataValidation>
    <dataValidation type="list" allowBlank="1" showInputMessage="1" showErrorMessage="1" sqref="I7:J8" xr:uid="{FB9AFAFC-438D-E243-A369-3BF4A3C8ED48}">
      <formula1>Core_XT_Training_Sections</formula1>
    </dataValidation>
    <dataValidation type="list" allowBlank="1" showInputMessage="1" showErrorMessage="1" sqref="G44:J44" xr:uid="{244FB788-E0AB-4849-B45B-9C1D417CBAA0}">
      <formula1>Will_You_Take_Person</formula1>
    </dataValidation>
    <dataValidation type="list" allowBlank="1" showInputMessage="1" showErrorMessage="1" sqref="C11" xr:uid="{BA89D46D-5315-1244-9905-48C5E06D58F2}">
      <formula1>Core_Exercise</formula1>
    </dataValidation>
  </dataValidation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2AE41-4C13-1441-AC43-6B4E6400C7AB}">
  <dimension ref="B1:W46"/>
  <sheetViews>
    <sheetView tabSelected="1" topLeftCell="A32" zoomScaleNormal="100" workbookViewId="0">
      <selection activeCell="D10" sqref="D10:J10"/>
    </sheetView>
  </sheetViews>
  <sheetFormatPr baseColWidth="10" defaultColWidth="11" defaultRowHeight="22" customHeight="1" x14ac:dyDescent="0.2"/>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bestFit="1"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spans="2:23" ht="11" customHeight="1" thickBot="1" x14ac:dyDescent="0.25"/>
    <row r="2" spans="2:23" ht="22" customHeight="1" x14ac:dyDescent="0.2">
      <c r="B2" s="111" t="s">
        <v>0</v>
      </c>
      <c r="C2" s="112"/>
      <c r="D2" s="112"/>
      <c r="E2" s="112"/>
      <c r="F2" s="112"/>
      <c r="G2" s="112"/>
      <c r="H2" s="112"/>
      <c r="I2" s="112"/>
      <c r="J2" s="113"/>
    </row>
    <row r="3" spans="2:23" ht="22" customHeight="1" thickBot="1" x14ac:dyDescent="0.25">
      <c r="B3" s="114"/>
      <c r="C3" s="115"/>
      <c r="D3" s="115"/>
      <c r="E3" s="115"/>
      <c r="F3" s="115"/>
      <c r="G3" s="115"/>
      <c r="H3" s="115"/>
      <c r="I3" s="115"/>
      <c r="J3" s="116"/>
    </row>
    <row r="4" spans="2:23" ht="22" customHeight="1" thickBot="1" x14ac:dyDescent="0.25">
      <c r="B4" s="50" t="s">
        <v>1</v>
      </c>
      <c r="C4" s="57" t="s">
        <v>173</v>
      </c>
      <c r="D4" s="167"/>
      <c r="E4" s="51" t="s">
        <v>2</v>
      </c>
      <c r="F4" s="62" t="s">
        <v>85</v>
      </c>
      <c r="G4" s="169"/>
      <c r="H4" s="52" t="s">
        <v>3</v>
      </c>
      <c r="I4" s="120" t="s">
        <v>86</v>
      </c>
      <c r="J4" s="121"/>
      <c r="M4" s="27" t="s">
        <v>87</v>
      </c>
      <c r="N4" s="28" t="s">
        <v>88</v>
      </c>
      <c r="O4" s="28" t="s">
        <v>89</v>
      </c>
      <c r="P4" s="28" t="s">
        <v>90</v>
      </c>
      <c r="Q4" s="24" t="s">
        <v>13</v>
      </c>
      <c r="R4" s="24" t="s">
        <v>14</v>
      </c>
      <c r="S4" s="24" t="s">
        <v>15</v>
      </c>
      <c r="T4" s="24" t="s">
        <v>16</v>
      </c>
      <c r="U4" s="24" t="s">
        <v>17</v>
      </c>
      <c r="V4" s="38" t="s">
        <v>18</v>
      </c>
      <c r="W4" s="26" t="s">
        <v>91</v>
      </c>
    </row>
    <row r="5" spans="2:23" ht="22" customHeight="1" thickBot="1" x14ac:dyDescent="0.25">
      <c r="B5" s="2" t="s">
        <v>19</v>
      </c>
      <c r="C5" s="58">
        <v>5</v>
      </c>
      <c r="D5" s="137"/>
      <c r="E5" s="43" t="s">
        <v>20</v>
      </c>
      <c r="F5" s="60">
        <v>169695</v>
      </c>
      <c r="G5" s="118"/>
      <c r="H5" s="47" t="s">
        <v>21</v>
      </c>
      <c r="I5" s="122" t="s">
        <v>92</v>
      </c>
      <c r="J5" s="123"/>
      <c r="M5" s="40" t="str">
        <f>L13</f>
        <v>SAL1</v>
      </c>
      <c r="N5" s="31" t="str">
        <f>L21</f>
        <v>SAL2</v>
      </c>
      <c r="O5" s="31" t="str">
        <f>L30</f>
        <v>-</v>
      </c>
      <c r="P5" s="31" t="str">
        <f>L37</f>
        <v>-</v>
      </c>
      <c r="Q5" s="32" t="b">
        <f>OR(M5="Rejected",N5="Rejected")</f>
        <v>0</v>
      </c>
      <c r="R5" s="32" t="b">
        <f>AND(NOT(Q5),M5="SAL2",N5&lt;&gt;"Associate")</f>
        <v>0</v>
      </c>
      <c r="S5" s="32" t="b">
        <f>AND(NOT(Q5),NOT(R5),OR(M5="SAL1",M5="SAL2"),OR(N5&lt;&gt;"Associate",AND(N5="Associate",OR(O5&lt;&gt;"-",P5&lt;&gt;"-"))))</f>
        <v>1</v>
      </c>
      <c r="T5" s="32" t="b">
        <f>AND(NOT(Q5),NOT(R5),NOT(S5),M5="Associate",N5="Associate",O5="-", P5="-")</f>
        <v>0</v>
      </c>
      <c r="U5" s="32" t="b">
        <f>AND(NOT(Q5),NOT(R5),NOT(S2),NOT(T2))</f>
        <v>1</v>
      </c>
      <c r="V5" s="39" t="str">
        <f>IF(Q5,"REJECTED",IF(R5,"Lead Experience Engineer",IF(S5,"Senior Experience Engineer",IF(T5,"Experience Engineer L1",IF(U5,"Experience Engineer L2","Thinking")))))</f>
        <v>Senior Experience Engineer</v>
      </c>
      <c r="W5" s="34" t="b">
        <f>AND(V5="SAL1",F2="Associate")</f>
        <v>0</v>
      </c>
    </row>
    <row r="6" spans="2:23" ht="22" customHeight="1" x14ac:dyDescent="0.2">
      <c r="B6" s="2" t="s">
        <v>22</v>
      </c>
      <c r="C6" s="59">
        <v>5</v>
      </c>
      <c r="D6" s="137"/>
      <c r="E6" s="42" t="s">
        <v>23</v>
      </c>
      <c r="F6" s="60"/>
      <c r="G6" s="118"/>
      <c r="H6" s="11" t="s">
        <v>24</v>
      </c>
      <c r="I6" s="124"/>
      <c r="J6" s="125"/>
    </row>
    <row r="7" spans="2:23" ht="22" customHeight="1" x14ac:dyDescent="0.2">
      <c r="B7" s="2" t="s">
        <v>25</v>
      </c>
      <c r="C7" s="60" t="s">
        <v>92</v>
      </c>
      <c r="D7" s="137"/>
      <c r="E7" s="42" t="s">
        <v>26</v>
      </c>
      <c r="F7" s="45" t="str">
        <f>V5</f>
        <v>Senior Experience Engineer</v>
      </c>
      <c r="G7" s="118"/>
      <c r="H7" s="128" t="s">
        <v>27</v>
      </c>
      <c r="I7" s="130"/>
      <c r="J7" s="131"/>
    </row>
    <row r="8" spans="2:23" ht="22" customHeight="1" thickBot="1" x14ac:dyDescent="0.25">
      <c r="B8" s="41" t="s">
        <v>28</v>
      </c>
      <c r="C8" s="61">
        <v>46208</v>
      </c>
      <c r="D8" s="168"/>
      <c r="E8" s="44" t="s">
        <v>29</v>
      </c>
      <c r="F8" s="46" t="str">
        <f>IF(W5,"React Specialist", "No trainings required")</f>
        <v>No trainings required</v>
      </c>
      <c r="G8" s="170"/>
      <c r="H8" s="129"/>
      <c r="I8" s="132"/>
      <c r="J8" s="133"/>
    </row>
    <row r="9" spans="2:23" ht="128" customHeight="1" thickBot="1" x14ac:dyDescent="0.25">
      <c r="B9" s="126" t="s">
        <v>30</v>
      </c>
      <c r="C9" s="127"/>
      <c r="D9" s="139" t="s">
        <v>176</v>
      </c>
      <c r="E9" s="139"/>
      <c r="F9" s="139"/>
      <c r="G9" s="139"/>
      <c r="H9" s="139"/>
      <c r="I9" s="139"/>
      <c r="J9" s="140"/>
    </row>
    <row r="10" spans="2:23" ht="68" customHeight="1" thickBot="1" x14ac:dyDescent="0.25">
      <c r="B10" s="155" t="s">
        <v>31</v>
      </c>
      <c r="C10" s="156"/>
      <c r="D10" s="160"/>
      <c r="E10" s="160"/>
      <c r="F10" s="160"/>
      <c r="G10" s="160"/>
      <c r="H10" s="160"/>
      <c r="I10" s="160"/>
      <c r="J10" s="161"/>
    </row>
    <row r="11" spans="2:23" ht="71" customHeight="1" thickBot="1" x14ac:dyDescent="0.25">
      <c r="B11" s="56" t="s">
        <v>32</v>
      </c>
      <c r="C11" s="63" t="s">
        <v>93</v>
      </c>
      <c r="D11" s="165"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65"/>
      <c r="F11" s="165"/>
      <c r="G11" s="165"/>
      <c r="H11" s="165"/>
      <c r="I11" s="165"/>
      <c r="J11" s="166"/>
    </row>
    <row r="12" spans="2:23" s="6" customFormat="1" ht="22" customHeight="1" thickBot="1" x14ac:dyDescent="0.25">
      <c r="B12" s="55" t="s">
        <v>34</v>
      </c>
      <c r="C12" s="157" t="s">
        <v>35</v>
      </c>
      <c r="D12" s="158"/>
      <c r="E12" s="159"/>
      <c r="F12" s="54" t="s">
        <v>36</v>
      </c>
      <c r="G12" s="162" t="s">
        <v>37</v>
      </c>
      <c r="H12" s="163"/>
      <c r="I12" s="163"/>
      <c r="J12" s="164"/>
      <c r="N12" s="23"/>
      <c r="O12" s="23"/>
    </row>
    <row r="13" spans="2:23" ht="40" customHeight="1" thickBot="1" x14ac:dyDescent="0.25">
      <c r="B13" s="83" t="s">
        <v>94</v>
      </c>
      <c r="C13" s="84"/>
      <c r="D13" s="84"/>
      <c r="E13" s="84"/>
      <c r="F13" s="84"/>
      <c r="G13" s="4"/>
      <c r="H13" s="4"/>
      <c r="I13" s="5" t="s">
        <v>39</v>
      </c>
      <c r="J13" s="7">
        <f>AVERAGE(K14:K20)/3*100</f>
        <v>76.19047619047619</v>
      </c>
      <c r="K13" s="22"/>
      <c r="L13" s="22" t="str">
        <f>IF(J13&lt;60, "Rejected",IF(J13&lt;70,"Associate",IF(J13&lt;80,"SAL1","SAL2")))</f>
        <v>SAL1</v>
      </c>
      <c r="M13" s="22"/>
    </row>
    <row r="14" spans="2:23" ht="88" customHeight="1" thickBot="1" x14ac:dyDescent="0.25">
      <c r="B14" s="144" t="s">
        <v>87</v>
      </c>
      <c r="C14" s="80" t="s">
        <v>95</v>
      </c>
      <c r="D14" s="81"/>
      <c r="E14" s="82"/>
      <c r="F14" s="12" t="s">
        <v>96</v>
      </c>
      <c r="G14" s="71" t="s">
        <v>174</v>
      </c>
      <c r="H14" s="72"/>
      <c r="I14" s="72"/>
      <c r="J14" s="73"/>
      <c r="K14">
        <f>VLOOKUP(F14,Data!$F$3:$G$7,2,FALSE)</f>
        <v>3</v>
      </c>
    </row>
    <row r="15" spans="2:23" ht="38" customHeight="1" thickBot="1" x14ac:dyDescent="0.25">
      <c r="B15" s="145"/>
      <c r="C15" s="80" t="s">
        <v>97</v>
      </c>
      <c r="D15" s="81"/>
      <c r="E15" s="82"/>
      <c r="F15" s="12" t="s">
        <v>96</v>
      </c>
      <c r="G15" s="74"/>
      <c r="H15" s="75"/>
      <c r="I15" s="75"/>
      <c r="J15" s="76"/>
      <c r="K15">
        <f>VLOOKUP(F15,Data!$F$3:$G$7,2,FALSE)</f>
        <v>3</v>
      </c>
    </row>
    <row r="16" spans="2:23" ht="37" customHeight="1" thickBot="1" x14ac:dyDescent="0.25">
      <c r="B16" s="145"/>
      <c r="C16" s="80" t="s">
        <v>98</v>
      </c>
      <c r="D16" s="81"/>
      <c r="E16" s="82"/>
      <c r="F16" s="12" t="s">
        <v>96</v>
      </c>
      <c r="G16" s="74"/>
      <c r="H16" s="75"/>
      <c r="I16" s="75"/>
      <c r="J16" s="76"/>
      <c r="K16">
        <f>VLOOKUP(F16,Data!$F$3:$G$7,2,FALSE)</f>
        <v>3</v>
      </c>
    </row>
    <row r="17" spans="2:16" ht="40" customHeight="1" thickBot="1" x14ac:dyDescent="0.25">
      <c r="B17" s="145"/>
      <c r="C17" s="80" t="s">
        <v>99</v>
      </c>
      <c r="D17" s="81"/>
      <c r="E17" s="82"/>
      <c r="F17" s="12" t="s">
        <v>96</v>
      </c>
      <c r="G17" s="74"/>
      <c r="H17" s="75"/>
      <c r="I17" s="75"/>
      <c r="J17" s="76"/>
      <c r="K17">
        <f>VLOOKUP(F17,Data!$F$3:$G$7,2,FALSE)</f>
        <v>3</v>
      </c>
    </row>
    <row r="18" spans="2:16" ht="34" customHeight="1" thickBot="1" x14ac:dyDescent="0.25">
      <c r="B18" s="145"/>
      <c r="C18" s="87" t="s">
        <v>100</v>
      </c>
      <c r="D18" s="88"/>
      <c r="E18" s="89"/>
      <c r="F18" s="12" t="s">
        <v>96</v>
      </c>
      <c r="G18" s="74"/>
      <c r="H18" s="75"/>
      <c r="I18" s="75"/>
      <c r="J18" s="76"/>
      <c r="K18">
        <f>VLOOKUP(F18,Data!$F$3:$G$7,2,FALSE)</f>
        <v>3</v>
      </c>
    </row>
    <row r="19" spans="2:16" ht="35" customHeight="1" thickBot="1" x14ac:dyDescent="0.25">
      <c r="B19" s="145"/>
      <c r="C19" s="87" t="s">
        <v>101</v>
      </c>
      <c r="D19" s="88"/>
      <c r="E19" s="89"/>
      <c r="F19" s="12" t="s">
        <v>102</v>
      </c>
      <c r="G19" s="74"/>
      <c r="H19" s="75"/>
      <c r="I19" s="75"/>
      <c r="J19" s="76"/>
      <c r="K19">
        <f>VLOOKUP(F19,Data!$F$3:$G$7,2,FALSE)</f>
        <v>1</v>
      </c>
    </row>
    <row r="20" spans="2:16" ht="272" customHeight="1" thickBot="1" x14ac:dyDescent="0.25">
      <c r="B20" s="146"/>
      <c r="C20" s="87" t="s">
        <v>103</v>
      </c>
      <c r="D20" s="88"/>
      <c r="E20" s="89"/>
      <c r="F20" s="12" t="s">
        <v>41</v>
      </c>
      <c r="G20" s="77"/>
      <c r="H20" s="78"/>
      <c r="I20" s="78"/>
      <c r="J20" s="79"/>
      <c r="K20">
        <f>VLOOKUP(F20,Data!$F$3:$G$7,2,FALSE)</f>
        <v>0</v>
      </c>
    </row>
    <row r="21" spans="2:16" ht="40" customHeight="1" thickBot="1" x14ac:dyDescent="0.25">
      <c r="B21" s="83" t="s">
        <v>104</v>
      </c>
      <c r="C21" s="84"/>
      <c r="D21" s="84"/>
      <c r="E21" s="84"/>
      <c r="F21" s="84"/>
      <c r="G21" s="4"/>
      <c r="H21" s="4"/>
      <c r="I21" s="5" t="s">
        <v>39</v>
      </c>
      <c r="J21" s="7">
        <f>AVERAGE(K22:K29)/3*100</f>
        <v>62.5</v>
      </c>
      <c r="K21" s="22"/>
      <c r="L21" s="22" t="str">
        <f>IF(J21&lt;25,"Rejected",IF(J21&lt;40, "Associate", IF(J21&lt;50,"SAL1","SAL2")))</f>
        <v>SAL2</v>
      </c>
      <c r="M21" s="22"/>
      <c r="N21" s="22"/>
      <c r="O21" s="22"/>
      <c r="P21" s="22"/>
    </row>
    <row r="22" spans="2:16" ht="37" customHeight="1" thickBot="1" x14ac:dyDescent="0.25">
      <c r="B22" s="144" t="s">
        <v>105</v>
      </c>
      <c r="C22" s="147" t="s">
        <v>106</v>
      </c>
      <c r="D22" s="148"/>
      <c r="E22" s="149"/>
      <c r="F22" s="12" t="s">
        <v>102</v>
      </c>
      <c r="G22" s="71" t="s">
        <v>175</v>
      </c>
      <c r="H22" s="72"/>
      <c r="I22" s="72"/>
      <c r="J22" s="73"/>
      <c r="K22">
        <f>VLOOKUP(F22,Data!$F$3:$G$7,2,FALSE)</f>
        <v>1</v>
      </c>
    </row>
    <row r="23" spans="2:16" ht="56" customHeight="1" thickBot="1" x14ac:dyDescent="0.25">
      <c r="B23" s="145"/>
      <c r="C23" s="147" t="s">
        <v>107</v>
      </c>
      <c r="D23" s="148"/>
      <c r="E23" s="149"/>
      <c r="F23" s="12" t="s">
        <v>102</v>
      </c>
      <c r="G23" s="74"/>
      <c r="H23" s="75"/>
      <c r="I23" s="75"/>
      <c r="J23" s="76"/>
      <c r="K23">
        <f>VLOOKUP(F23,Data!$F$3:$G$7,2,FALSE)</f>
        <v>1</v>
      </c>
    </row>
    <row r="24" spans="2:16" ht="41" customHeight="1" thickBot="1" x14ac:dyDescent="0.25">
      <c r="B24" s="145"/>
      <c r="C24" s="147" t="s">
        <v>109</v>
      </c>
      <c r="D24" s="148"/>
      <c r="E24" s="149"/>
      <c r="F24" s="21" t="s">
        <v>96</v>
      </c>
      <c r="G24" s="74"/>
      <c r="H24" s="75"/>
      <c r="I24" s="75"/>
      <c r="J24" s="76"/>
      <c r="K24">
        <f>VLOOKUP(F24,Data!$F$3:$G$7,2,FALSE)</f>
        <v>3</v>
      </c>
    </row>
    <row r="25" spans="2:16" ht="42" customHeight="1" thickBot="1" x14ac:dyDescent="0.25">
      <c r="B25" s="145"/>
      <c r="C25" s="101" t="s">
        <v>110</v>
      </c>
      <c r="D25" s="102"/>
      <c r="E25" s="103"/>
      <c r="F25" s="13" t="s">
        <v>96</v>
      </c>
      <c r="G25" s="74"/>
      <c r="H25" s="75"/>
      <c r="I25" s="75"/>
      <c r="J25" s="76"/>
      <c r="K25">
        <f>VLOOKUP(F25,Data!$F$3:$G$7,2,FALSE)</f>
        <v>3</v>
      </c>
    </row>
    <row r="26" spans="2:16" ht="38" customHeight="1" thickBot="1" x14ac:dyDescent="0.25">
      <c r="B26" s="145"/>
      <c r="C26" s="101" t="s">
        <v>111</v>
      </c>
      <c r="D26" s="102"/>
      <c r="E26" s="103"/>
      <c r="F26" s="13" t="s">
        <v>96</v>
      </c>
      <c r="G26" s="74"/>
      <c r="H26" s="75"/>
      <c r="I26" s="75"/>
      <c r="J26" s="76"/>
      <c r="K26">
        <f>VLOOKUP(F26,Data!$F$3:$G$7,2,FALSE)</f>
        <v>3</v>
      </c>
    </row>
    <row r="27" spans="2:16" ht="55" customHeight="1" thickBot="1" x14ac:dyDescent="0.25">
      <c r="B27" s="145"/>
      <c r="C27" s="101" t="s">
        <v>112</v>
      </c>
      <c r="D27" s="102"/>
      <c r="E27" s="103"/>
      <c r="F27" s="13" t="s">
        <v>41</v>
      </c>
      <c r="G27" s="74"/>
      <c r="H27" s="75"/>
      <c r="I27" s="75"/>
      <c r="J27" s="76"/>
      <c r="K27">
        <f>VLOOKUP(F27,Data!$F$3:$G$7,2,FALSE)</f>
        <v>0</v>
      </c>
    </row>
    <row r="28" spans="2:16" ht="91" customHeight="1" thickBot="1" x14ac:dyDescent="0.25">
      <c r="B28" s="145"/>
      <c r="C28" s="101" t="s">
        <v>113</v>
      </c>
      <c r="D28" s="102"/>
      <c r="E28" s="103"/>
      <c r="F28" s="13" t="s">
        <v>102</v>
      </c>
      <c r="G28" s="74"/>
      <c r="H28" s="75"/>
      <c r="I28" s="75"/>
      <c r="J28" s="76"/>
      <c r="K28">
        <f>VLOOKUP(F28,Data!$F$3:$G$7,2,FALSE)</f>
        <v>1</v>
      </c>
    </row>
    <row r="29" spans="2:16" ht="192" customHeight="1" thickBot="1" x14ac:dyDescent="0.25">
      <c r="B29" s="145"/>
      <c r="C29" s="101" t="s">
        <v>114</v>
      </c>
      <c r="D29" s="102"/>
      <c r="E29" s="103"/>
      <c r="F29" s="13" t="s">
        <v>96</v>
      </c>
      <c r="G29" s="77"/>
      <c r="H29" s="78"/>
      <c r="I29" s="78"/>
      <c r="J29" s="79"/>
      <c r="K29">
        <f>VLOOKUP(F29,Data!$F$3:$G$7,2,FALSE)</f>
        <v>3</v>
      </c>
    </row>
    <row r="30" spans="2:16" ht="40" customHeight="1" thickBot="1" x14ac:dyDescent="0.25">
      <c r="B30" s="108" t="s">
        <v>89</v>
      </c>
      <c r="C30" s="109"/>
      <c r="D30" s="109"/>
      <c r="E30" s="109"/>
      <c r="F30" s="109"/>
      <c r="G30" s="14"/>
      <c r="H30" s="14"/>
      <c r="I30" s="15" t="s">
        <v>39</v>
      </c>
      <c r="J30" s="16">
        <f>AVERAGE(K31:K36)/3*100</f>
        <v>0</v>
      </c>
      <c r="K30" s="22"/>
      <c r="L30" s="22" t="str">
        <f>IF(J30&lt;5,"-",IF(J30&lt;10,"AL2","Sr Associate"))</f>
        <v>-</v>
      </c>
      <c r="M30" s="22"/>
    </row>
    <row r="31" spans="2:16" ht="40" customHeight="1" thickBot="1" x14ac:dyDescent="0.25">
      <c r="B31" s="144" t="s">
        <v>115</v>
      </c>
      <c r="C31" s="104" t="s">
        <v>116</v>
      </c>
      <c r="D31" s="107"/>
      <c r="E31" s="105"/>
      <c r="F31" s="12" t="s">
        <v>41</v>
      </c>
      <c r="G31" s="71" t="s">
        <v>117</v>
      </c>
      <c r="H31" s="72"/>
      <c r="I31" s="72"/>
      <c r="J31" s="73"/>
      <c r="K31">
        <f>VLOOKUP(F31,Data!$D$3:$G$7,4,FALSE)</f>
        <v>0</v>
      </c>
    </row>
    <row r="32" spans="2:16" ht="85" customHeight="1" thickBot="1" x14ac:dyDescent="0.25">
      <c r="B32" s="145"/>
      <c r="C32" s="107" t="s">
        <v>118</v>
      </c>
      <c r="D32" s="107"/>
      <c r="E32" s="105"/>
      <c r="F32" s="12" t="s">
        <v>41</v>
      </c>
      <c r="G32" s="74"/>
      <c r="H32" s="75"/>
      <c r="I32" s="75"/>
      <c r="J32" s="76"/>
      <c r="K32">
        <f>VLOOKUP(F32,Data!$D$3:$G$7,4,FALSE)</f>
        <v>0</v>
      </c>
    </row>
    <row r="33" spans="2:13" ht="52" customHeight="1" thickBot="1" x14ac:dyDescent="0.25">
      <c r="B33" s="145"/>
      <c r="C33" s="104" t="s">
        <v>119</v>
      </c>
      <c r="D33" s="107"/>
      <c r="E33" s="105"/>
      <c r="F33" s="12" t="s">
        <v>41</v>
      </c>
      <c r="G33" s="74"/>
      <c r="H33" s="75"/>
      <c r="I33" s="75"/>
      <c r="J33" s="76"/>
      <c r="K33">
        <f>VLOOKUP(F33,Data!$D$3:$G$7,4,FALSE)</f>
        <v>0</v>
      </c>
    </row>
    <row r="34" spans="2:13" ht="40" customHeight="1" thickBot="1" x14ac:dyDescent="0.25">
      <c r="B34" s="145"/>
      <c r="C34" s="104" t="s">
        <v>120</v>
      </c>
      <c r="D34" s="107"/>
      <c r="E34" s="105"/>
      <c r="F34" s="12" t="s">
        <v>41</v>
      </c>
      <c r="G34" s="74"/>
      <c r="H34" s="75"/>
      <c r="I34" s="75"/>
      <c r="J34" s="76"/>
      <c r="K34">
        <f>VLOOKUP(F34,Data!$D$3:$G$7,4,FALSE)</f>
        <v>0</v>
      </c>
    </row>
    <row r="35" spans="2:13" ht="103" customHeight="1" thickBot="1" x14ac:dyDescent="0.25">
      <c r="B35" s="145"/>
      <c r="C35" s="104" t="s">
        <v>121</v>
      </c>
      <c r="D35" s="107"/>
      <c r="E35" s="105"/>
      <c r="F35" s="12" t="s">
        <v>41</v>
      </c>
      <c r="G35" s="74"/>
      <c r="H35" s="75"/>
      <c r="I35" s="75"/>
      <c r="J35" s="76"/>
      <c r="K35">
        <f>VLOOKUP(F35,Data!$D$3:$G$7,4,FALSE)</f>
        <v>0</v>
      </c>
    </row>
    <row r="36" spans="2:13" ht="53" customHeight="1" thickBot="1" x14ac:dyDescent="0.25">
      <c r="B36" s="146"/>
      <c r="C36" s="104" t="s">
        <v>122</v>
      </c>
      <c r="D36" s="107"/>
      <c r="E36" s="105"/>
      <c r="F36" s="12" t="s">
        <v>41</v>
      </c>
      <c r="G36" s="77"/>
      <c r="H36" s="78"/>
      <c r="I36" s="78"/>
      <c r="J36" s="79"/>
      <c r="K36">
        <f>VLOOKUP(F36,Data!$D$3:$G$7,4,FALSE)</f>
        <v>0</v>
      </c>
    </row>
    <row r="37" spans="2:13" ht="53" customHeight="1" thickBot="1" x14ac:dyDescent="0.25">
      <c r="B37" s="108" t="s">
        <v>90</v>
      </c>
      <c r="C37" s="109"/>
      <c r="D37" s="109"/>
      <c r="E37" s="109"/>
      <c r="F37" s="109"/>
      <c r="G37" s="14"/>
      <c r="H37" s="14"/>
      <c r="I37" s="15" t="s">
        <v>39</v>
      </c>
      <c r="J37" s="16">
        <f>AVERAGE(K38:K50)/3*100</f>
        <v>0</v>
      </c>
      <c r="K37" s="22"/>
      <c r="L37" s="22" t="str">
        <f>IF(J37&lt;5,"-",IF(J37&lt;10,"AL2","Sr Associate"))</f>
        <v>-</v>
      </c>
      <c r="M37" s="22"/>
    </row>
    <row r="38" spans="2:13" ht="53" customHeight="1" thickBot="1" x14ac:dyDescent="0.25">
      <c r="B38" s="144" t="s">
        <v>90</v>
      </c>
      <c r="C38" s="104" t="s">
        <v>123</v>
      </c>
      <c r="D38" s="107"/>
      <c r="E38" s="105"/>
      <c r="F38" s="12" t="s">
        <v>41</v>
      </c>
      <c r="G38" s="71" t="s">
        <v>117</v>
      </c>
      <c r="H38" s="72"/>
      <c r="I38" s="72"/>
      <c r="J38" s="73"/>
      <c r="K38">
        <f>VLOOKUP(F38,Data!$D$3:$G$7,4,FALSE)</f>
        <v>0</v>
      </c>
    </row>
    <row r="39" spans="2:13" ht="18" thickBot="1" x14ac:dyDescent="0.25">
      <c r="B39" s="145"/>
      <c r="C39" s="104" t="s">
        <v>124</v>
      </c>
      <c r="D39" s="107"/>
      <c r="E39" s="105"/>
      <c r="F39" s="12" t="s">
        <v>41</v>
      </c>
      <c r="G39" s="74"/>
      <c r="H39" s="75"/>
      <c r="I39" s="75"/>
      <c r="J39" s="76"/>
      <c r="K39">
        <f>VLOOKUP(F39,Data!$D$3:$G$7,4,FALSE)</f>
        <v>0</v>
      </c>
    </row>
    <row r="40" spans="2:13" ht="37" customHeight="1" thickBot="1" x14ac:dyDescent="0.25">
      <c r="B40" s="145"/>
      <c r="C40" s="104" t="s">
        <v>125</v>
      </c>
      <c r="D40" s="107"/>
      <c r="E40" s="105"/>
      <c r="F40" s="12" t="s">
        <v>41</v>
      </c>
      <c r="G40" s="74"/>
      <c r="H40" s="75"/>
      <c r="I40" s="75"/>
      <c r="J40" s="76"/>
      <c r="K40">
        <f>VLOOKUP(F40,Data!$D$3:$G$7,4,FALSE)</f>
        <v>0</v>
      </c>
    </row>
    <row r="41" spans="2:13" ht="37" customHeight="1" thickBot="1" x14ac:dyDescent="0.25">
      <c r="B41" s="145"/>
      <c r="C41" s="104" t="s">
        <v>126</v>
      </c>
      <c r="D41" s="107"/>
      <c r="E41" s="105"/>
      <c r="F41" s="12" t="s">
        <v>41</v>
      </c>
      <c r="G41" s="74"/>
      <c r="H41" s="75"/>
      <c r="I41" s="75"/>
      <c r="J41" s="76"/>
      <c r="K41">
        <f>VLOOKUP(F41,Data!$D$3:$G$7,4,FALSE)</f>
        <v>0</v>
      </c>
    </row>
    <row r="42" spans="2:13" ht="42" customHeight="1" thickBot="1" x14ac:dyDescent="0.25">
      <c r="B42" s="145"/>
      <c r="C42" s="104" t="s">
        <v>127</v>
      </c>
      <c r="D42" s="107"/>
      <c r="E42" s="105"/>
      <c r="F42" s="12" t="s">
        <v>41</v>
      </c>
      <c r="G42" s="74"/>
      <c r="H42" s="75"/>
      <c r="I42" s="75"/>
      <c r="J42" s="76"/>
      <c r="K42">
        <f>VLOOKUP(F42,Data!$D$3:$G$7,4,FALSE)</f>
        <v>0</v>
      </c>
    </row>
    <row r="43" spans="2:13" ht="33" customHeight="1" thickBot="1" x14ac:dyDescent="0.25">
      <c r="B43" s="146"/>
      <c r="C43" s="106" t="s">
        <v>128</v>
      </c>
      <c r="D43" s="107"/>
      <c r="E43" s="105"/>
      <c r="F43" s="12" t="s">
        <v>41</v>
      </c>
      <c r="G43" s="77"/>
      <c r="H43" s="78"/>
      <c r="I43" s="78"/>
      <c r="J43" s="79"/>
      <c r="K43">
        <f>VLOOKUP(F43,Data!$D$3:$G$7,4,FALSE)</f>
        <v>0</v>
      </c>
    </row>
    <row r="44" spans="2:13" ht="41" customHeight="1" thickBot="1" x14ac:dyDescent="0.25">
      <c r="B44" s="108" t="s">
        <v>79</v>
      </c>
      <c r="C44" s="109"/>
      <c r="D44" s="109"/>
      <c r="E44" s="109"/>
      <c r="F44" s="109"/>
      <c r="G44" s="109"/>
      <c r="H44" s="109"/>
      <c r="I44" s="109"/>
      <c r="J44" s="110"/>
    </row>
    <row r="45" spans="2:13" ht="57" customHeight="1" thickBot="1" x14ac:dyDescent="0.25">
      <c r="B45" s="19" t="s">
        <v>80</v>
      </c>
      <c r="C45" s="104" t="s">
        <v>81</v>
      </c>
      <c r="D45" s="105"/>
      <c r="E45" s="20" t="s">
        <v>82</v>
      </c>
      <c r="F45" s="18" t="s">
        <v>83</v>
      </c>
      <c r="G45" s="96"/>
      <c r="H45" s="97"/>
      <c r="I45" s="97"/>
      <c r="J45" s="98"/>
    </row>
    <row r="46" spans="2:13" ht="22" customHeight="1" thickBot="1" x14ac:dyDescent="0.25">
      <c r="B46" s="93" t="s">
        <v>84</v>
      </c>
      <c r="C46" s="94"/>
      <c r="D46" s="94"/>
      <c r="E46" s="94"/>
      <c r="F46" s="95"/>
      <c r="G46" s="152"/>
      <c r="H46" s="153"/>
      <c r="I46" s="153"/>
      <c r="J46" s="154"/>
    </row>
  </sheetData>
  <mergeCells count="59">
    <mergeCell ref="C41:E41"/>
    <mergeCell ref="B38:B43"/>
    <mergeCell ref="G14:J20"/>
    <mergeCell ref="G22:J29"/>
    <mergeCell ref="C28:E28"/>
    <mergeCell ref="C33:E33"/>
    <mergeCell ref="C17:E17"/>
    <mergeCell ref="B21:F21"/>
    <mergeCell ref="B37:F37"/>
    <mergeCell ref="C15:E15"/>
    <mergeCell ref="C16:E16"/>
    <mergeCell ref="C29:E29"/>
    <mergeCell ref="C39:E39"/>
    <mergeCell ref="C40:E40"/>
    <mergeCell ref="C36:E36"/>
    <mergeCell ref="B31:B36"/>
    <mergeCell ref="B2:J3"/>
    <mergeCell ref="D4:D8"/>
    <mergeCell ref="G4:G8"/>
    <mergeCell ref="I4:J4"/>
    <mergeCell ref="I5:J5"/>
    <mergeCell ref="I6:J6"/>
    <mergeCell ref="H7:H8"/>
    <mergeCell ref="I7:J8"/>
    <mergeCell ref="B9:C9"/>
    <mergeCell ref="B10:C10"/>
    <mergeCell ref="C12:E12"/>
    <mergeCell ref="B13:F13"/>
    <mergeCell ref="C14:E14"/>
    <mergeCell ref="B14:B20"/>
    <mergeCell ref="C18:E18"/>
    <mergeCell ref="C19:E19"/>
    <mergeCell ref="C20:E20"/>
    <mergeCell ref="D9:J9"/>
    <mergeCell ref="D10:J10"/>
    <mergeCell ref="G12:J12"/>
    <mergeCell ref="D11:J11"/>
    <mergeCell ref="C45:D45"/>
    <mergeCell ref="G45:J45"/>
    <mergeCell ref="B46:F46"/>
    <mergeCell ref="G46:J46"/>
    <mergeCell ref="C43:E43"/>
    <mergeCell ref="B44:J44"/>
    <mergeCell ref="G31:J36"/>
    <mergeCell ref="G38:J43"/>
    <mergeCell ref="C38:E38"/>
    <mergeCell ref="B22:B29"/>
    <mergeCell ref="C32:E32"/>
    <mergeCell ref="C34:E34"/>
    <mergeCell ref="C35:E35"/>
    <mergeCell ref="C22:E22"/>
    <mergeCell ref="C23:E23"/>
    <mergeCell ref="C24:E24"/>
    <mergeCell ref="C42:E42"/>
    <mergeCell ref="C25:E25"/>
    <mergeCell ref="C26:E26"/>
    <mergeCell ref="C27:E27"/>
    <mergeCell ref="B30:F30"/>
    <mergeCell ref="C31:E31"/>
  </mergeCells>
  <conditionalFormatting sqref="F7">
    <cfRule type="cellIs" dxfId="0" priority="1" operator="equal">
      <formula>"REJECTED"</formula>
    </cfRule>
  </conditionalFormatting>
  <conditionalFormatting sqref="F8">
    <cfRule type="iconSet" priority="5">
      <iconSet iconSet="3Symbols2">
        <cfvo type="percent" val="0"/>
        <cfvo type="num" val="3"/>
        <cfvo type="num" val="5"/>
      </iconSet>
    </cfRule>
  </conditionalFormatting>
  <dataValidations count="8">
    <dataValidation type="list" allowBlank="1" showInputMessage="1" showErrorMessage="1" sqref="F22:F29 F14:F20" xr:uid="{491BDFD4-0BA7-EB41-8AC2-B7772A69BE25}">
      <formula1>Scoring_Development</formula1>
    </dataValidation>
    <dataValidation type="list" allowBlank="1" showInputMessage="1" showErrorMessage="1" sqref="F38:F43 F31:F36" xr:uid="{B9C3C53C-2B74-5C49-BCB7-F3B6A2C3AAF5}">
      <formula1>Scoring_Architecture</formula1>
    </dataValidation>
    <dataValidation type="list" allowBlank="1" showInputMessage="1" showErrorMessage="1" sqref="G46:J46" xr:uid="{BFFD6B93-A276-A949-8A97-0E5003106A27}">
      <formula1>Will_You_Take_Person</formula1>
    </dataValidation>
    <dataValidation type="list" allowBlank="1" showInputMessage="1" showErrorMessage="1" sqref="C7 I5:J5" xr:uid="{48F12602-48C1-4E44-BDFA-24D28250542D}">
      <formula1>Career_Stage</formula1>
    </dataValidation>
    <dataValidation type="list" allowBlank="1" showInputMessage="1" showErrorMessage="1" sqref="I4:J4" xr:uid="{BC290084-98CE-4C42-AD88-E958C484837E}">
      <formula1>Interview_Outcome</formula1>
    </dataValidation>
    <dataValidation type="list" allowBlank="1" showInputMessage="1" showErrorMessage="1" sqref="I6:J6" xr:uid="{90275E0D-55FA-8948-B9D6-50FEDCC5CD14}">
      <formula1>Rejection_Reason</formula1>
    </dataValidation>
    <dataValidation type="list" allowBlank="1" showInputMessage="1" showErrorMessage="1" sqref="I7:J8" xr:uid="{B9FBC3C8-747A-9849-885A-D3FF8A29A778}">
      <formula1>React_Training_Sections</formula1>
    </dataValidation>
    <dataValidation type="list" allowBlank="1" showInputMessage="1" showErrorMessage="1" sqref="C11" xr:uid="{C188FEEF-4A2C-AF40-A264-2BD7ABD0528C}">
      <formula1>React_Exercise</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A9779-2CE3-6E4D-96A3-A83D2F0F975C}">
  <dimension ref="B2:J7"/>
  <sheetViews>
    <sheetView topLeftCell="B1" zoomScale="150" zoomScaleNormal="150" workbookViewId="0">
      <selection activeCell="F3" sqref="F3:F7"/>
    </sheetView>
  </sheetViews>
  <sheetFormatPr baseColWidth="10" defaultColWidth="11" defaultRowHeight="16" x14ac:dyDescent="0.2"/>
  <cols>
    <col min="2" max="2" width="28.5" bestFit="1" customWidth="1"/>
    <col min="3" max="3" width="19.1640625" bestFit="1" customWidth="1"/>
    <col min="4" max="4" width="37.83203125" bestFit="1" customWidth="1"/>
    <col min="5" max="5" width="26.33203125" customWidth="1"/>
    <col min="6" max="6" width="31.83203125" bestFit="1" customWidth="1"/>
    <col min="8" max="8" width="22.1640625" bestFit="1" customWidth="1"/>
    <col min="10" max="10" width="20.5" bestFit="1" customWidth="1"/>
  </cols>
  <sheetData>
    <row r="2" spans="2:10" x14ac:dyDescent="0.2">
      <c r="B2" s="1" t="s">
        <v>18</v>
      </c>
      <c r="C2" s="1" t="s">
        <v>129</v>
      </c>
      <c r="D2" s="1" t="s">
        <v>130</v>
      </c>
      <c r="E2" s="1" t="s">
        <v>131</v>
      </c>
      <c r="F2" s="1" t="s">
        <v>132</v>
      </c>
      <c r="G2" s="1" t="s">
        <v>133</v>
      </c>
      <c r="H2" s="1" t="s">
        <v>134</v>
      </c>
      <c r="I2" s="1" t="s">
        <v>135</v>
      </c>
      <c r="J2" s="1" t="s">
        <v>136</v>
      </c>
    </row>
    <row r="3" spans="2:10" x14ac:dyDescent="0.2">
      <c r="B3" t="s">
        <v>137</v>
      </c>
      <c r="C3" t="s">
        <v>86</v>
      </c>
      <c r="D3" t="s">
        <v>41</v>
      </c>
      <c r="E3" s="3" t="s">
        <v>138</v>
      </c>
      <c r="F3" t="s">
        <v>41</v>
      </c>
      <c r="G3">
        <v>0</v>
      </c>
      <c r="H3" t="s">
        <v>5</v>
      </c>
      <c r="I3" t="s">
        <v>139</v>
      </c>
      <c r="J3" t="s">
        <v>91</v>
      </c>
    </row>
    <row r="4" spans="2:10" x14ac:dyDescent="0.2">
      <c r="B4" t="s">
        <v>140</v>
      </c>
      <c r="C4" t="s">
        <v>141</v>
      </c>
      <c r="D4" t="s">
        <v>142</v>
      </c>
      <c r="E4" t="s">
        <v>143</v>
      </c>
      <c r="F4" t="s">
        <v>142</v>
      </c>
      <c r="G4">
        <v>0</v>
      </c>
      <c r="H4" t="s">
        <v>8</v>
      </c>
      <c r="I4" t="s">
        <v>144</v>
      </c>
    </row>
    <row r="5" spans="2:10" x14ac:dyDescent="0.2">
      <c r="B5" t="s">
        <v>92</v>
      </c>
      <c r="C5" t="s">
        <v>145</v>
      </c>
      <c r="D5" t="s">
        <v>146</v>
      </c>
      <c r="E5" t="s">
        <v>147</v>
      </c>
      <c r="F5" t="s">
        <v>102</v>
      </c>
      <c r="G5">
        <v>1</v>
      </c>
      <c r="H5" t="s">
        <v>148</v>
      </c>
    </row>
    <row r="6" spans="2:10" x14ac:dyDescent="0.2">
      <c r="B6" t="s">
        <v>149</v>
      </c>
      <c r="D6" t="s">
        <v>150</v>
      </c>
      <c r="F6" t="s">
        <v>108</v>
      </c>
      <c r="G6">
        <v>2</v>
      </c>
    </row>
    <row r="7" spans="2:10" x14ac:dyDescent="0.2">
      <c r="B7" t="s">
        <v>151</v>
      </c>
      <c r="D7" t="s">
        <v>152</v>
      </c>
      <c r="F7" t="s">
        <v>96</v>
      </c>
      <c r="G7">
        <v>3</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BF8E0-249B-1446-ACDF-48B2F7A96EF4}">
  <dimension ref="A1:B8"/>
  <sheetViews>
    <sheetView zoomScale="180" zoomScaleNormal="180" workbookViewId="0">
      <selection activeCell="B6" sqref="B6"/>
    </sheetView>
  </sheetViews>
  <sheetFormatPr baseColWidth="10" defaultColWidth="11" defaultRowHeight="16" x14ac:dyDescent="0.2"/>
  <cols>
    <col min="1" max="1" width="17.83203125" bestFit="1" customWidth="1"/>
    <col min="2" max="2" width="122.6640625" customWidth="1"/>
  </cols>
  <sheetData>
    <row r="1" spans="1:2" x14ac:dyDescent="0.2">
      <c r="A1" t="s">
        <v>153</v>
      </c>
    </row>
    <row r="2" spans="1:2" x14ac:dyDescent="0.2">
      <c r="A2" t="s">
        <v>33</v>
      </c>
      <c r="B2" t="s">
        <v>154</v>
      </c>
    </row>
    <row r="3" spans="1:2" x14ac:dyDescent="0.2">
      <c r="A3" t="s">
        <v>155</v>
      </c>
      <c r="B3" t="s">
        <v>156</v>
      </c>
    </row>
    <row r="4" spans="1:2" x14ac:dyDescent="0.2">
      <c r="A4" t="s">
        <v>157</v>
      </c>
      <c r="B4" t="s">
        <v>158</v>
      </c>
    </row>
    <row r="5" spans="1:2" x14ac:dyDescent="0.2">
      <c r="A5" t="s">
        <v>159</v>
      </c>
      <c r="B5" t="s">
        <v>160</v>
      </c>
    </row>
    <row r="6" spans="1:2" x14ac:dyDescent="0.2">
      <c r="A6" t="s">
        <v>93</v>
      </c>
      <c r="B6" t="s">
        <v>161</v>
      </c>
    </row>
    <row r="7" spans="1:2" x14ac:dyDescent="0.2">
      <c r="A7" t="s">
        <v>162</v>
      </c>
      <c r="B7" t="s">
        <v>163</v>
      </c>
    </row>
    <row r="8" spans="1:2" x14ac:dyDescent="0.2">
      <c r="A8" t="s">
        <v>164</v>
      </c>
      <c r="B8" t="s">
        <v>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ADC7D-C669-E14C-A69D-BC43A60A5D6F}">
  <dimension ref="A1:B8"/>
  <sheetViews>
    <sheetView zoomScale="150" zoomScaleNormal="150" workbookViewId="0">
      <selection activeCell="A2" sqref="A2:A8"/>
    </sheetView>
  </sheetViews>
  <sheetFormatPr baseColWidth="10" defaultColWidth="11" defaultRowHeight="16" x14ac:dyDescent="0.2"/>
  <sheetData>
    <row r="1" spans="1:2" x14ac:dyDescent="0.2">
      <c r="A1" t="s">
        <v>166</v>
      </c>
    </row>
    <row r="2" spans="1:2" x14ac:dyDescent="0.2">
      <c r="A2" t="s">
        <v>33</v>
      </c>
      <c r="B2" t="s">
        <v>167</v>
      </c>
    </row>
    <row r="3" spans="1:2" x14ac:dyDescent="0.2">
      <c r="A3" t="s">
        <v>155</v>
      </c>
      <c r="B3" t="s">
        <v>168</v>
      </c>
    </row>
    <row r="4" spans="1:2" x14ac:dyDescent="0.2">
      <c r="A4" t="s">
        <v>157</v>
      </c>
      <c r="B4" t="s">
        <v>169</v>
      </c>
    </row>
    <row r="5" spans="1:2" x14ac:dyDescent="0.2">
      <c r="A5" t="s">
        <v>159</v>
      </c>
      <c r="B5" t="s">
        <v>170</v>
      </c>
    </row>
    <row r="6" spans="1:2" x14ac:dyDescent="0.2">
      <c r="A6" t="s">
        <v>93</v>
      </c>
      <c r="B6" t="s">
        <v>171</v>
      </c>
    </row>
    <row r="7" spans="1:2" x14ac:dyDescent="0.2">
      <c r="A7" t="s">
        <v>162</v>
      </c>
      <c r="B7" t="s">
        <v>172</v>
      </c>
    </row>
    <row r="8" spans="1:2" x14ac:dyDescent="0.2">
      <c r="A8" t="s">
        <v>164</v>
      </c>
      <c r="B8"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1 - HTML, CSS &amp; NFRs</vt:lpstr>
      <vt:lpstr>2 - FW React</vt:lpstr>
      <vt:lpstr>Data</vt:lpstr>
      <vt:lpstr>React Exercise</vt:lpstr>
      <vt:lpstr>Core Exercise</vt:lpstr>
      <vt:lpstr>Career_Stage</vt:lpstr>
      <vt:lpstr>Core_Exercise</vt:lpstr>
      <vt:lpstr>Core_XT_Training_Sections</vt:lpstr>
      <vt:lpstr>Interview_Outcome</vt:lpstr>
      <vt:lpstr>React_Exercise</vt:lpstr>
      <vt:lpstr>React_Training_Sections</vt:lpstr>
      <vt:lpstr>Rejection_Reason</vt:lpstr>
      <vt:lpstr>Scoring_Architecture</vt:lpstr>
      <vt:lpstr>Scoring_Development</vt:lpstr>
      <vt:lpstr>Will_You_Take_Person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Siddhartha Chatterjee</cp:lastModifiedBy>
  <cp:revision/>
  <dcterms:created xsi:type="dcterms:W3CDTF">2023-01-12T09:52:17Z</dcterms:created>
  <dcterms:modified xsi:type="dcterms:W3CDTF">2026-05-07T06:43:30Z</dcterms:modified>
  <cp:category/>
  <cp:contentStatus/>
</cp:coreProperties>
</file>