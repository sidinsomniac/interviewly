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760" windowWidth="30240" windowHeight="17380" firstSheet="1" activeTab="1"/>
  </bookViews>
  <sheets>
    <sheet sheetId="4" name="2 - Python Backend" state="visible" r:id="rId4"/>
    <sheet sheetId="2" name="Data" state="hidden" r:id="rId5"/>
  </sheets>
  <definedNames>
    <definedName name="Career_Stage">Data!$B$3:$B$7</definedName>
    <definedName name="Core_Exercise">'Core Exercise'!$A$2:$A$8</definedName>
    <definedName name="Core_XT_Training_Sections">Data!$H$3:$H$5</definedName>
    <definedName name="Interview_Outcome">Data!$C$3:$C$5</definedName>
    <definedName name="React_Exercise">'React Exercise'!$A$2:$A$8</definedName>
    <definedName name="React_Training_Sections">Data!$J$3</definedName>
    <definedName name="Rejection_Reason">Data!$E$3:$E$5</definedName>
    <definedName name="Scoring_Architecture">Data!$D$3:$D$7</definedName>
    <definedName name="Scoring_Development">Data!$F$3:$F$7</definedName>
    <definedName name="Will_You_Take_Person">Data!$I$3:$I$4</definedName>
  </definedNames>
  <calcPr calcId="171027"/>
</workbook>
</file>

<file path=xl/sharedStrings.xml><?xml version="1.0" encoding="utf-8"?>
<sst xmlns="http://schemas.openxmlformats.org/spreadsheetml/2006/main" count="149" uniqueCount="111">
  <si>
    <t>Experience Engineering Hiring Probe Form [If in doubt REJECT the candidate]</t>
  </si>
  <si>
    <t>Candidate Name:</t>
  </si>
  <si>
    <t>Gurnoor Kaur</t>
  </si>
  <si>
    <t>Interviewer Name:</t>
  </si>
  <si>
    <t>Siddhartha Chatterjee</t>
  </si>
  <si>
    <t xml:space="preserve">Interview Outcome: </t>
  </si>
  <si>
    <t>Selected</t>
  </si>
  <si>
    <t>React Basics</t>
  </si>
  <si>
    <t>React Advance</t>
  </si>
  <si>
    <t>Node</t>
  </si>
  <si>
    <t>GraphQL</t>
  </si>
  <si>
    <t>isRejected</t>
  </si>
  <si>
    <t>isSAL2</t>
  </si>
  <si>
    <t>isSAL1</t>
  </si>
  <si>
    <t>isAL1</t>
  </si>
  <si>
    <t>isAL2</t>
  </si>
  <si>
    <t>Career Stage</t>
  </si>
  <si>
    <t>React Specialist</t>
  </si>
  <si>
    <t>Total years of exp.:</t>
  </si>
  <si>
    <t xml:space="preserve">Interviewer OID: </t>
  </si>
  <si>
    <t>Selected for Level:</t>
  </si>
  <si>
    <t>Senior Experience Engineer</t>
  </si>
  <si>
    <t>Relevant years of exp.:</t>
  </si>
  <si>
    <t>(Rev)Shadow Name:</t>
  </si>
  <si>
    <t>Rejection Reason:</t>
  </si>
  <si>
    <t>Interviewed for:</t>
  </si>
  <si>
    <t>Recommended Title</t>
  </si>
  <si>
    <t>Sections to be trained on:</t>
  </si>
  <si>
    <t>Evaluation Date:</t>
  </si>
  <si>
    <t>Recommended Training</t>
  </si>
  <si>
    <t>Domain Feedback Summary &amp; Key Highlights:</t>
  </si>
  <si>
    <t xml:space="preserve">Gurnoor demonstrated consistent hands-on strength across both foundational and advanced React concepts. She confidently handled the preliminary exercise and branching discussions, showing solid understanding of hooks, component structuring, state management, and rendering optimization. Her approach to forms, asynchronous flows, and nested implementations was practical and well-organized.
She independently completed the Shopping Cart exercise and showed good awareness of performance considerations, memoization, and scalable state management patterns using Context and Redux Toolkit. Overall, Gurnoor displayed the level of practical understanding and problem-solving expected from a senior React developer.</t>
  </si>
  <si>
    <t>Teachable Skill Gap Details:</t>
  </si>
  <si>
    <t>Choose hands-on exercise</t>
  </si>
  <si>
    <t>Shopping Cart</t>
  </si>
  <si>
    <t>Skill</t>
  </si>
  <si>
    <t>Areas To Be Probed / Competency Definition</t>
  </si>
  <si>
    <t>Evaluated Proficiency Level</t>
  </si>
  <si>
    <t>Feedback Details</t>
  </si>
  <si>
    <r>
      <t xml:space="preserve">React Basics </t>
    </r>
    <r>
      <rPr>
        <b/>
        <color rgb="FFFF0000"/>
        <sz val="12"/>
        <rFont val="Calibri (Body)"/>
      </rPr>
      <t>(Cover maximum listed topics as hands-on coding exercise)</t>
    </r>
  </si>
  <si>
    <t xml:space="preserve">AVG %age SCORE: </t>
  </si>
  <si>
    <t>Async &amp; Concurrency</t>
  </si>
  <si>
    <t>asyncio — event loop + coroutine lifecycle</t>
  </si>
  <si>
    <t>Confident hands on developer</t>
  </si>
  <si>
    <t xml:space="preserve">&gt; Gurnoor was able to successfully complete the preliminary exercise and all corresponding branching questions.
&gt; Nonetheless she has good practical knowledge, demonstrates strong grasp of useEffect, useState, useRef, useContext, useReducer, useLayoutEffefct, optimizing component structure and re-renders, along with memoization hooks.
&gt; Manages form submission, event binding, AJAX calls, and validation with a structured, practical approach.
&gt; She writes structured components as well.</t>
  </si>
  <si>
    <t>async/await — blocking vs non-blocking I/O pitfalls</t>
  </si>
  <si>
    <t>GIL — impact on CPU-bound vs I/O-bound tasks</t>
  </si>
  <si>
    <t>asyncio.gather vs asyncio.create_task vs asyncio.wait</t>
  </si>
  <si>
    <t>async context managers + async generators</t>
  </si>
  <si>
    <t>uvicorn + gunicorn worker model (async workers)</t>
  </si>
  <si>
    <t>Able to explain concepts theoritically</t>
  </si>
  <si>
    <t>async-django — ASGI vs WSGI + middleware</t>
  </si>
  <si>
    <t>Did not probe</t>
  </si>
  <si>
    <t>ORM &amp; Data Access</t>
  </si>
  <si>
    <t>SQLAlchemy 2.x — select() vs query() + eager loading</t>
  </si>
  <si>
    <t xml:space="preserve">&gt; Gurnoor was able to successfully demonstrate fundamental and advanced knowledge and had completed the Shopping Cart exercise with no guidance.
&gt; She displayed knowledge in asyncronicity and data sequencing, as well as nested implementations.
&gt; Understands global state management, optimizing performance and reducing prop drilling efficiently using useContext hooks and Redux toolkit..
&gt; Differentiates useMemo and useCallback, optimizing renders and preventing unnecessary computations.
&gt; Overall has sufficient knowledge for a senior developer when it comes to React.</t>
  </si>
  <si>
    <t>Django ORM — select_related vs prefetch_related + subqueries</t>
  </si>
  <si>
    <t>N+1 query detection and mitigation strategies</t>
  </si>
  <si>
    <t>Index design — composite indexes, partial indexes, covering indexes</t>
  </si>
  <si>
    <t>SQLAlchemy — session lifecycle + flush vs commit</t>
  </si>
  <si>
    <t>Django ORM — F() expressions + annotate vs aggregate</t>
  </si>
  <si>
    <t>Raw SQL vs ORM tradeoffs + SQL injection prevention</t>
  </si>
  <si>
    <t>Migrations — Alembic vs Django migrations + zero-downtime</t>
  </si>
  <si>
    <t>Web Frameworks &amp; APIs</t>
  </si>
  <si>
    <t>FastAPI — dependency injection + Depends() scoping</t>
  </si>
  <si>
    <t xml:space="preserve">Provide details of areas probed along with names of technologies used. </t>
  </si>
  <si>
    <t>Django REST Framework — serializers + ViewSets vs APIView</t>
  </si>
  <si>
    <t>Pydantic v2 — model_validator vs field_validator + custom types</t>
  </si>
  <si>
    <t>Middleware — custom middleware for auth/logging/rate limiting</t>
  </si>
  <si>
    <t>Background tasks — Celery vs FastAPI BackgroundTasks + task routing</t>
  </si>
  <si>
    <t>API versioning strategies — URL vs header vs content negotiation</t>
  </si>
  <si>
    <t>Testing &amp; Type Safety</t>
  </si>
  <si>
    <t>pytest — fixtures + conftest scoping + parametrize</t>
  </si>
  <si>
    <t>mypy — strict mode + type narrowing + overloads</t>
  </si>
  <si>
    <t>Mocking — unittest.mock vs pytest-mock + patching strategies</t>
  </si>
  <si>
    <t>Integration testing — test containers vs fixtures + database isolation</t>
  </si>
  <si>
    <t>Property-based testing — hypothesis + strategies</t>
  </si>
  <si>
    <t>Type hints — generics + Protocols vs ABC + TypedDict</t>
  </si>
  <si>
    <t>Attributes</t>
  </si>
  <si>
    <t>Role Awareness</t>
  </si>
  <si>
    <t>Roles and responsibilities, tech stack, nature of projects</t>
  </si>
  <si>
    <t>Awareness of the domain, organization and responsibilities of the role.</t>
  </si>
  <si>
    <t>Explain the same if the candidate isnt aware.</t>
  </si>
  <si>
    <t>Would you be comfortable staffing the person on your project. [Yes / No]</t>
  </si>
  <si>
    <t>Interview Outcome</t>
  </si>
  <si>
    <t>Scoring Architecture</t>
  </si>
  <si>
    <t>Rejection Reason</t>
  </si>
  <si>
    <t>Scoring Development</t>
  </si>
  <si>
    <t>Scoring Score</t>
  </si>
  <si>
    <t>Core XT Training Sections</t>
  </si>
  <si>
    <t>Will You Take Person</t>
  </si>
  <si>
    <t>React Training Sections</t>
  </si>
  <si>
    <t>Experience Engineer L1</t>
  </si>
  <si>
    <t>Lacked Fundamentals</t>
  </si>
  <si>
    <t>HTML/CSS</t>
  </si>
  <si>
    <t>Yes</t>
  </si>
  <si>
    <t>Experience Engineer L2</t>
  </si>
  <si>
    <t>Rejected</t>
  </si>
  <si>
    <t>No Experience</t>
  </si>
  <si>
    <t>No Hands on Experience</t>
  </si>
  <si>
    <t>NFR</t>
  </si>
  <si>
    <t>No</t>
  </si>
  <si>
    <t>Needs Another Round</t>
  </si>
  <si>
    <t xml:space="preserve">Awareness of concepts </t>
  </si>
  <si>
    <t>Gaps in multiple categories</t>
  </si>
  <si>
    <t>HTML/CSS &amp; NFR</t>
  </si>
  <si>
    <t>Lead Experience Engineer</t>
  </si>
  <si>
    <t xml:space="preserve">Able to explain concepts in depth  </t>
  </si>
  <si>
    <t>Able to code with guidance</t>
  </si>
  <si>
    <t>Manager Experience Engineering</t>
  </si>
  <si>
    <t xml:space="preserve">Confident with decision making &amp; hands 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</si>
</sst>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color theme="1"/>
      <family val="2"/>
      <scheme val="minor"/>
      <sz val="11"/>
      <name val="Calibri"/>
    </font>
    <font>
      <b/>
      <color theme="1"/>
      <family val="2"/>
      <scheme val="minor"/>
      <sz val="12"/>
      <name val="Calibri"/>
    </font>
    <font>
      <color theme="1"/>
      <family val="2"/>
      <scheme val="minor"/>
      <sz val="12"/>
      <name val="Calibri"/>
    </font>
    <font>
      <b/>
      <color rgb="FF000000"/>
      <family val="2"/>
      <scheme val="minor"/>
      <sz val="12"/>
      <name val="Calibri"/>
    </font>
    <font>
      <b/>
      <family val="2"/>
      <scheme val="minor"/>
      <sz val="12"/>
      <name val="Calibri"/>
    </font>
    <font>
      <b/>
      <color theme="0"/>
      <family val="2"/>
      <scheme val="minor"/>
      <sz val="12"/>
      <name val="Calibri"/>
    </font>
    <font>
      <color rgb="FF000000"/>
      <family val="2"/>
      <scheme val="minor"/>
      <sz val="12"/>
      <name val="Calibri"/>
    </font>
  </fonts>
  <fills count="17">
    <fill>
      <patternFill patternType="none"/>
    </fill>
    <fill>
      <patternFill patternType="gray125"/>
    </fill>
    <fill>
      <patternFill patternType="solid">
        <fgColor theme="9" tint="0.5999938962981048"/>
        <bgColor indexed="64"/>
      </patternFill>
    </fill>
    <fill>
      <patternFill patternType="solid">
        <fgColor theme="6" tint="0.7999816888943144"/>
        <bgColor indexed="64"/>
      </patternFill>
    </fill>
    <fill>
      <patternFill patternType="solid">
        <fgColor theme="6" tint="0.3999755851924192"/>
        <bgColor indexed="64"/>
      </patternFill>
    </fill>
    <fill>
      <patternFill patternType="solid">
        <fgColor theme="9" tint="0.7999816888943144"/>
        <bgColor indexed="64"/>
      </patternFill>
    </fill>
    <fill>
      <patternFill patternType="solid">
        <fgColor theme="4" tint="0.7999816888943144"/>
        <bgColor indexed="64"/>
      </patternFill>
    </fill>
    <fill>
      <patternFill patternType="solid">
        <fgColor theme="7" tint="0.7999816888943144"/>
        <bgColor indexed="64"/>
      </patternFill>
    </fill>
    <fill>
      <patternFill patternType="solid">
        <fgColor theme="9" tint="0.5999938962981048"/>
        <bgColor rgb="FF000000"/>
      </patternFill>
    </fill>
    <fill>
      <patternFill patternType="solid">
        <fgColor theme="0" tint="-0.249977111117893"/>
        <bgColor indexed="64"/>
      </patternFill>
    </fill>
    <fill>
      <patternFill patternType="solid">
        <fgColor theme="9" tint="0.3999755851924192"/>
        <bgColor indexed="64"/>
      </patternFill>
    </fill>
    <fill>
      <patternFill patternType="solid">
        <fgColor rgb="FFC00000"/>
        <bgColor indexed="64"/>
      </patternFill>
    </fill>
    <fill>
      <patternFill patternType="solid">
        <fgColor theme="2"/>
        <bgColor indexed="64"/>
      </patternFill>
    </fill>
    <fill>
      <patternFill patternType="solid">
        <fgColor theme="2" tint="-0.0999786370433668"/>
        <bgColor indexed="64"/>
      </patternFill>
    </fill>
    <fill>
      <patternFill patternType="solid">
        <fgColor theme="0" tint="-0.1499984740745262"/>
        <bgColor indexed="64"/>
      </patternFill>
    </fill>
    <fill>
      <patternFill patternType="solid">
        <fgColor theme="0" tint="-0.1499984740745262"/>
        <bgColor rgb="FF000000"/>
      </patternFill>
    </fill>
    <fill>
      <patternFill patternType="solid">
        <fgColor rgb="FFA9D08E"/>
        <bgColor rgb="FF000000"/>
      </patternFill>
    </fill>
  </fills>
  <borders count="48">
    <border>
      <left/>
      <right/>
      <top/>
      <bottom/>
      <diagonal/>
    </border>
    <border>
      <left style="medium">
        <color indexed="64"/>
      </left>
      <right style="thin"/>
      <top style="medium">
        <color indexed="64"/>
      </top>
      <bottom style="thin"/>
      <diagonal/>
    </border>
    <border>
      <left style="thin"/>
      <right style="thin"/>
      <top style="medium">
        <color indexed="64"/>
      </top>
      <bottom style="thin"/>
      <diagonal/>
    </border>
    <border>
      <left style="thin"/>
      <right style="medium">
        <color indexed="64"/>
      </right>
      <top style="medium">
        <color indexed="64"/>
      </top>
      <bottom style="thin"/>
      <diagonal/>
    </border>
    <border>
      <left style="medium">
        <color indexed="64"/>
      </left>
      <right style="thin"/>
      <top style="thin"/>
      <bottom style="medium">
        <color indexed="64"/>
      </bottom>
      <diagonal/>
    </border>
    <border>
      <left style="thin"/>
      <right style="thin"/>
      <top style="thin"/>
      <bottom style="medium">
        <color indexed="64"/>
      </bottom>
      <diagonal/>
    </border>
    <border>
      <left style="thin"/>
      <right style="medium">
        <color indexed="64"/>
      </right>
      <top style="thin"/>
      <bottom style="medium">
        <color indexed="64"/>
      </bottom>
      <diagonal/>
    </border>
    <border>
      <left style="medium">
        <color indexed="64"/>
      </left>
      <right style="thin"/>
      <top/>
      <bottom style="thin"/>
      <diagonal/>
    </border>
    <border>
      <left style="thin">
        <color indexed="64"/>
      </left>
      <right/>
      <top/>
      <bottom style="thin"/>
      <diagonal/>
    </border>
    <border>
      <left style="medium">
        <color indexed="64"/>
      </left>
      <right style="medium">
        <color indexed="64"/>
      </right>
      <top/>
      <bottom style="thin"/>
      <diagonal/>
    </border>
    <border>
      <left/>
      <right style="thin"/>
      <top/>
      <bottom style="thin"/>
      <diagonal/>
    </border>
    <border>
      <left/>
      <right style="thin"/>
      <top/>
      <bottom/>
      <diagonal/>
    </border>
    <border>
      <left/>
      <right style="medium">
        <color indexed="64"/>
      </right>
      <top/>
      <bottom style="thin"/>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top style="thin"/>
      <bottom style="thin"/>
      <diagonal/>
    </border>
    <border>
      <left style="thin"/>
      <right/>
      <top style="thin"/>
      <bottom style="thin"/>
      <diagonal/>
    </border>
    <border>
      <left style="medium">
        <color indexed="64"/>
      </left>
      <right style="medium">
        <color indexed="64"/>
      </right>
      <top style="thin"/>
      <bottom style="thin"/>
      <diagonal/>
    </border>
    <border>
      <left/>
      <right style="thin"/>
      <top style="thin"/>
      <bottom style="thin"/>
      <diagonal/>
    </border>
    <border>
      <left style="thin"/>
      <right style="thin"/>
      <top style="thin"/>
      <bottom style="thin"/>
      <diagonal/>
    </border>
    <border>
      <left style="thin"/>
      <right style="medium">
        <color indexed="64"/>
      </right>
      <top style="thin"/>
      <bottom style="thin"/>
      <diagonal/>
    </border>
    <border>
      <left style="thin"/>
      <right/>
      <top style="thin"/>
      <bottom/>
      <diagonal/>
    </border>
    <border>
      <left/>
      <right style="medium">
        <color indexed="64"/>
      </right>
      <top style="thin"/>
      <bottom style="thin"/>
      <diagonal/>
    </border>
    <border>
      <left/>
      <right style="thin"/>
      <top style="thin"/>
      <bottom/>
      <diagonal/>
    </border>
    <border>
      <left/>
      <right style="medium">
        <color indexed="64"/>
      </right>
      <top style="thin"/>
      <bottom/>
      <diagonal/>
    </border>
    <border>
      <left style="medium">
        <color indexed="64"/>
      </left>
      <right style="thin"/>
      <top style="thin"/>
      <bottom/>
      <diagonal/>
    </border>
    <border>
      <left style="medium">
        <color indexed="64"/>
      </left>
      <right style="medium">
        <color indexed="64"/>
      </right>
      <top style="thin"/>
      <bottom style="medium">
        <color indexed="64"/>
      </bottom>
      <diagonal/>
    </border>
    <border>
      <left style="thin"/>
      <right/>
      <top/>
      <bottom/>
      <diagonal/>
    </border>
    <border>
      <left/>
      <right style="medium">
        <color indexed="64"/>
      </right>
      <top/>
      <bottom/>
      <diagonal/>
    </border>
    <border>
      <left style="medium">
        <color indexed="64"/>
      </left>
      <right/>
      <top/>
      <bottom/>
      <diagonal/>
    </border>
    <border>
      <left style="thin"/>
      <right style="thin"/>
      <top style="medium">
        <color indexed="64"/>
      </top>
      <bottom style="medium">
        <color indexed="64"/>
      </bottom>
      <diagonal/>
    </border>
    <border>
      <left style="thin"/>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top style="medium">
        <color indexed="64"/>
      </top>
      <bottom/>
      <diagonal/>
    </border>
    <border>
      <left style="medium">
        <color indexed="64"/>
      </left>
      <right style="medium">
        <color indexed="64"/>
      </right>
      <top style="medium">
        <color indexed="64"/>
      </top>
      <bottom/>
      <diagonal/>
    </border>
    <border>
      <left style="medium">
        <color indexed="64"/>
      </left>
      <right style="thin"/>
      <top style="medium">
        <color indexed="64"/>
      </top>
      <bottom style="medium">
        <color indexed="64"/>
      </bottom>
      <diagonal/>
    </border>
    <border>
      <left/>
      <right/>
      <top style="medium">
        <color indexed="64"/>
      </top>
      <bottom style="thin"/>
      <diagonal/>
    </border>
    <border>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style="thin"/>
      <right/>
      <top style="medium">
        <color indexed="64"/>
      </top>
      <bottom style="medium">
        <color indexed="64"/>
      </bottom>
      <diagonal/>
    </border>
    <border>
      <left style="medium">
        <color indexed="64"/>
      </left>
      <right/>
      <top style="thin"/>
      <bottom style="medium">
        <color indexed="64"/>
      </bottom>
      <diagonal/>
    </border>
    <border>
      <left/>
      <right style="thin"/>
      <top style="thin"/>
      <bottom style="medium">
        <color indexed="64"/>
      </bottom>
      <diagonal/>
    </border>
  </borders>
  <cellStyleXfs count="1">
    <xf numFmtId="0" fontId="0" fillId="0" borderId="0"/>
  </cellStyleXfs>
  <cellXfs count="130">
    <xf numFmtId="0" fontId="0" fillId="0" borderId="0" xfId="0"/>
    <xf numFmtId="0" fontId="1" fillId="2" borderId="1" xfId="0" applyFont="1" applyFill="1" applyBorder="1" applyAlignment="1">
      <alignment horizontal="left" vertical="center"/>
    </xf>
    <xf numFmtId="0" fontId="1" fillId="2" borderId="2" xfId="0" applyFont="1" applyFill="1" applyBorder="1" applyAlignment="1">
      <alignment horizontal="left" vertical="center"/>
    </xf>
    <xf numFmtId="0" fontId="1" fillId="2" borderId="3" xfId="0" applyFont="1" applyFill="1" applyBorder="1" applyAlignment="1">
      <alignment horizontal="left" vertical="center"/>
    </xf>
    <xf numFmtId="0" fontId="1" fillId="2" borderId="4" xfId="0" applyFont="1" applyFill="1" applyBorder="1" applyAlignment="1">
      <alignment horizontal="left" vertical="center"/>
    </xf>
    <xf numFmtId="0" fontId="1" fillId="2" borderId="5" xfId="0" applyFont="1" applyFill="1" applyBorder="1" applyAlignment="1">
      <alignment horizontal="left" vertical="center"/>
    </xf>
    <xf numFmtId="0" fontId="1" fillId="2" borderId="6" xfId="0" applyFont="1" applyFill="1" applyBorder="1" applyAlignment="1">
      <alignment horizontal="left" vertical="center"/>
    </xf>
    <xf numFmtId="0" fontId="1" fillId="2" borderId="7" xfId="0" applyFont="1" applyFill="1" applyBorder="1" applyAlignment="1">
      <alignment horizontal="left" vertical="center" wrapText="1"/>
    </xf>
    <xf numFmtId="0" fontId="2" fillId="3" borderId="8" xfId="0" applyFont="1" applyFill="1" applyBorder="1" applyAlignment="1" applyProtection="1">
      <alignment horizontal="left" vertical="center"/>
      <protection locked="0"/>
    </xf>
    <xf numFmtId="0" fontId="2" fillId="4" borderId="9" xfId="0" applyFont="1" applyFill="1" applyBorder="1" applyAlignment="1">
      <alignment horizontal="center" vertical="center"/>
    </xf>
    <xf numFmtId="0" fontId="1" fillId="2" borderId="10" xfId="0" applyFont="1" applyFill="1" applyBorder="1" applyAlignment="1">
      <alignment horizontal="left" vertical="center"/>
    </xf>
    <xf numFmtId="0" fontId="2" fillId="3" borderId="8" xfId="0" applyFont="1" applyFill="1" applyBorder="1" applyAlignment="1" applyProtection="1">
      <alignment horizontal="left" vertical="center" wrapText="1"/>
      <protection locked="0"/>
    </xf>
    <xf numFmtId="0" fontId="2" fillId="4" borderId="9" xfId="0" applyFont="1" applyFill="1" applyBorder="1" applyAlignment="1">
      <alignment horizontal="left" vertical="center"/>
    </xf>
    <xf numFmtId="0" fontId="1" fillId="2" borderId="11" xfId="0" applyFont="1" applyFill="1" applyBorder="1" applyAlignment="1">
      <alignment horizontal="left" vertical="center" wrapText="1"/>
    </xf>
    <xf numFmtId="0" fontId="2" fillId="3" borderId="12" xfId="0" applyFont="1" applyFill="1" applyBorder="1" applyAlignment="1" applyProtection="1">
      <alignment horizontal="left" vertical="center"/>
      <protection locked="0"/>
    </xf>
    <xf numFmtId="0" fontId="2" fillId="5" borderId="13" xfId="0" applyFont="1" applyFill="1" applyBorder="1"/>
    <xf numFmtId="0" fontId="2" fillId="5" borderId="14" xfId="0" applyFont="1" applyFill="1" applyBorder="1"/>
    <xf numFmtId="0" fontId="1" fillId="6" borderId="14" xfId="0" applyFont="1" applyFill="1" applyBorder="1"/>
    <xf numFmtId="0" fontId="1" fillId="7" borderId="13" xfId="0" applyFont="1" applyFill="1" applyBorder="1"/>
    <xf numFmtId="0" fontId="1" fillId="7" borderId="15" xfId="0" applyFont="1" applyFill="1" applyBorder="1"/>
    <xf numFmtId="0" fontId="1" fillId="2" borderId="16" xfId="0" applyFont="1" applyFill="1" applyBorder="1" applyAlignment="1">
      <alignment horizontal="left" vertical="center" wrapText="1"/>
    </xf>
    <xf numFmtId="0" fontId="1" fillId="3" borderId="17" xfId="0" applyFont="1" applyFill="1" applyBorder="1" applyAlignment="1" applyProtection="1">
      <alignment horizontal="left" vertical="center"/>
      <protection locked="0"/>
    </xf>
    <xf numFmtId="0" fontId="2" fillId="4" borderId="18" xfId="0" applyFont="1" applyFill="1" applyBorder="1" applyAlignment="1">
      <alignment horizontal="center" vertical="center"/>
    </xf>
    <xf numFmtId="0" fontId="1" fillId="2" borderId="19" xfId="0" applyFont="1" applyFill="1" applyBorder="1" applyAlignment="1">
      <alignment horizontal="left" vertical="center" wrapText="1"/>
    </xf>
    <xf numFmtId="0" fontId="2" fillId="3" borderId="17" xfId="0" applyFont="1" applyFill="1" applyBorder="1" applyAlignment="1" applyProtection="1">
      <alignment horizontal="left" vertical="center"/>
      <protection locked="0"/>
    </xf>
    <xf numFmtId="0" fontId="2" fillId="4" borderId="18" xfId="0" applyFont="1" applyFill="1" applyBorder="1" applyAlignment="1">
      <alignment horizontal="left" vertical="center"/>
    </xf>
    <xf numFmtId="0" fontId="3" fillId="8" borderId="19" xfId="0" applyFont="1" applyFill="1" applyBorder="1" applyAlignment="1">
      <alignment horizontal="left" vertical="center" wrapText="1"/>
    </xf>
    <xf numFmtId="0" fontId="2" fillId="3" borderId="20" xfId="0" applyFont="1" applyFill="1" applyBorder="1" applyAlignment="1" applyProtection="1">
      <alignment horizontal="left" vertical="center"/>
      <protection locked="0"/>
    </xf>
    <xf numFmtId="0" fontId="2" fillId="3" borderId="21" xfId="0" applyFont="1" applyFill="1" applyBorder="1" applyAlignment="1" applyProtection="1">
      <alignment horizontal="left" vertical="center"/>
      <protection locked="0"/>
    </xf>
    <xf numFmtId="9" fontId="2" fillId="5" borderId="13" xfId="0" applyNumberFormat="1" applyFont="1" applyFill="1" applyBorder="1"/>
    <xf numFmtId="9" fontId="2" fillId="5" borderId="14" xfId="0" applyNumberFormat="1" applyFont="1" applyFill="1" applyBorder="1"/>
    <xf numFmtId="0" fontId="2" fillId="6" borderId="14" xfId="0" applyFont="1" applyFill="1" applyBorder="1"/>
    <xf numFmtId="0" fontId="2" fillId="7" borderId="13" xfId="0" applyFont="1" applyFill="1" applyBorder="1"/>
    <xf numFmtId="0" fontId="2" fillId="7" borderId="15" xfId="0" applyFont="1" applyFill="1" applyBorder="1"/>
    <xf numFmtId="0" fontId="1" fillId="3" borderId="22" xfId="0" applyFont="1" applyFill="1" applyBorder="1" applyAlignment="1" applyProtection="1">
      <alignment horizontal="left" vertical="center"/>
      <protection locked="0"/>
    </xf>
    <xf numFmtId="0" fontId="1" fillId="2" borderId="19" xfId="0" applyFont="1" applyFill="1" applyBorder="1" applyAlignment="1">
      <alignment horizontal="left" vertical="center"/>
    </xf>
    <xf numFmtId="0" fontId="1" fillId="2" borderId="0" xfId="0" applyFont="1" applyFill="1" applyAlignment="1">
      <alignment vertical="center"/>
    </xf>
    <xf numFmtId="0" fontId="2" fillId="3" borderId="23" xfId="0" applyFont="1" applyFill="1" applyBorder="1" applyAlignment="1" applyProtection="1">
      <alignment horizontal="left" vertical="center"/>
      <protection locked="0"/>
    </xf>
    <xf numFmtId="0" fontId="1" fillId="9" borderId="17" xfId="0" applyFont="1" applyFill="1" applyBorder="1" applyAlignment="1">
      <alignment vertical="center"/>
    </xf>
    <xf numFmtId="0" fontId="3" fillId="8" borderId="24" xfId="0" applyFont="1" applyFill="1" applyBorder="1" applyAlignment="1">
      <alignment horizontal="left" vertical="center" wrapText="1"/>
    </xf>
    <xf numFmtId="0" fontId="2" fillId="3" borderId="22" xfId="0" applyFont="1" applyFill="1" applyBorder="1" applyAlignment="1" applyProtection="1">
      <alignment horizontal="center" vertical="center"/>
      <protection locked="0"/>
    </xf>
    <xf numFmtId="0" fontId="2" fillId="3" borderId="25" xfId="0" applyFont="1" applyFill="1" applyBorder="1" applyAlignment="1" applyProtection="1">
      <alignment horizontal="center" vertical="center"/>
      <protection locked="0"/>
    </xf>
    <xf numFmtId="0" fontId="1" fillId="2" borderId="26" xfId="0" applyFont="1" applyFill="1" applyBorder="1" applyAlignment="1">
      <alignment horizontal="left" vertical="center" wrapText="1"/>
    </xf>
    <xf numFmtId="14" fontId="2" fillId="3" borderId="22" xfId="0" applyNumberFormat="1" applyFont="1" applyFill="1" applyBorder="1" applyAlignment="1" applyProtection="1">
      <alignment horizontal="left" vertical="center" wrapText="1"/>
      <protection locked="0"/>
    </xf>
    <xf numFmtId="0" fontId="2" fillId="4" borderId="27" xfId="0" applyFont="1" applyFill="1" applyBorder="1" applyAlignment="1">
      <alignment horizontal="center" vertical="center"/>
    </xf>
    <xf numFmtId="0" fontId="1" fillId="2" borderId="24" xfId="0" applyFont="1" applyFill="1" applyBorder="1" applyAlignment="1">
      <alignment horizontal="left" vertical="center" wrapText="1"/>
    </xf>
    <xf numFmtId="0" fontId="1" fillId="9" borderId="22" xfId="0" applyFont="1" applyFill="1" applyBorder="1" applyAlignment="1" applyProtection="1">
      <alignment horizontal="left" vertical="center" wrapText="1"/>
      <protection hidden="1"/>
    </xf>
    <xf numFmtId="0" fontId="2" fillId="4" borderId="27" xfId="0" applyFont="1" applyFill="1" applyBorder="1" applyAlignment="1">
      <alignment horizontal="left" vertical="center"/>
    </xf>
    <xf numFmtId="0" fontId="3" fillId="8" borderId="11" xfId="0" applyFont="1" applyFill="1" applyBorder="1" applyAlignment="1">
      <alignment horizontal="left" vertical="center" wrapText="1"/>
    </xf>
    <xf numFmtId="0" fontId="2" fillId="3" borderId="28" xfId="0" applyFont="1" applyFill="1" applyBorder="1" applyAlignment="1" applyProtection="1">
      <alignment horizontal="center" vertical="center"/>
      <protection locked="0"/>
    </xf>
    <xf numFmtId="0" fontId="2" fillId="3" borderId="29" xfId="0" applyFont="1" applyFill="1" applyBorder="1" applyAlignment="1" applyProtection="1">
      <alignment horizontal="center" vertical="center"/>
      <protection locked="0"/>
    </xf>
    <xf numFmtId="0" fontId="4" fillId="10" borderId="13" xfId="0" applyFont="1" applyFill="1" applyBorder="1" applyAlignment="1">
      <alignment horizontal="left" vertical="center" wrapText="1"/>
    </xf>
    <xf numFmtId="0" fontId="4" fillId="10" borderId="14" xfId="0" applyFont="1" applyFill="1" applyBorder="1" applyAlignment="1">
      <alignment horizontal="left" vertical="center" wrapText="1"/>
    </xf>
    <xf numFmtId="0" fontId="4" fillId="10" borderId="14" xfId="0" applyFont="1" applyFill="1" applyBorder="1" applyAlignment="1" applyProtection="1">
      <alignment horizontal="left" vertical="top" wrapText="1"/>
      <protection locked="0"/>
    </xf>
    <xf numFmtId="0" fontId="4" fillId="10" borderId="15" xfId="0" applyFont="1" applyFill="1" applyBorder="1" applyAlignment="1" applyProtection="1">
      <alignment horizontal="left" vertical="top" wrapText="1"/>
      <protection locked="0"/>
    </xf>
    <xf numFmtId="0" fontId="5" fillId="11" borderId="30" xfId="0" applyFont="1" applyFill="1" applyBorder="1" applyAlignment="1">
      <alignment horizontal="left" vertical="center" wrapText="1"/>
    </xf>
    <xf numFmtId="0" fontId="5" fillId="11" borderId="0" xfId="0" applyFont="1" applyFill="1" applyAlignment="1">
      <alignment horizontal="left" vertical="center" wrapText="1"/>
    </xf>
    <xf numFmtId="0" fontId="5" fillId="11" borderId="0" xfId="0" applyFont="1" applyFill="1" applyAlignment="1" applyProtection="1">
      <alignment horizontal="left" vertical="top" wrapText="1"/>
      <protection locked="0"/>
    </xf>
    <xf numFmtId="0" fontId="5" fillId="11" borderId="29" xfId="0" applyFont="1" applyFill="1" applyBorder="1" applyAlignment="1" applyProtection="1">
      <alignment horizontal="left" vertical="top" wrapText="1"/>
      <protection locked="0"/>
    </xf>
    <xf numFmtId="0" fontId="1" fillId="9" borderId="13" xfId="0" applyFont="1" applyFill="1" applyBorder="1" applyAlignment="1">
      <alignment vertical="center" wrapText="1"/>
    </xf>
    <xf numFmtId="0" fontId="1" fillId="12" borderId="31" xfId="0" applyFont="1" applyFill="1" applyBorder="1" applyAlignment="1" applyProtection="1">
      <alignment vertical="center" wrapText="1"/>
      <protection locked="0"/>
    </xf>
    <xf numFmtId="0" fontId="2" fillId="12" borderId="31" xfId="0" applyFont="1" applyFill="1" applyBorder="1" applyAlignment="1">
      <alignment horizontal="left" vertical="top" wrapText="1"/>
    </xf>
    <xf numFmtId="0" fontId="2" fillId="12" borderId="32" xfId="0" applyFont="1" applyFill="1" applyBorder="1" applyAlignment="1">
      <alignment horizontal="left" vertical="top" wrapText="1"/>
    </xf>
    <xf numFmtId="0" fontId="2" fillId="0" borderId="0" xfId="0" applyFont="1" applyAlignment="1">
      <alignment horizontal="left" vertical="center"/>
    </xf>
    <xf numFmtId="0" fontId="1" fillId="13" borderId="33" xfId="0" applyFont="1" applyFill="1" applyBorder="1" applyAlignment="1">
      <alignment horizontal="left" vertical="center"/>
    </xf>
    <xf numFmtId="0" fontId="1" fillId="13" borderId="34" xfId="0" applyFont="1" applyFill="1" applyBorder="1" applyAlignment="1">
      <alignment horizontal="left" vertical="center" wrapText="1"/>
    </xf>
    <xf numFmtId="0" fontId="1" fillId="13" borderId="35" xfId="0" applyFont="1" applyFill="1" applyBorder="1" applyAlignment="1">
      <alignment horizontal="left" vertical="center" wrapText="1"/>
    </xf>
    <xf numFmtId="0" fontId="1" fillId="13" borderId="36" xfId="0" applyFont="1" applyFill="1" applyBorder="1" applyAlignment="1">
      <alignment horizontal="left" vertical="center" wrapText="1"/>
    </xf>
    <xf numFmtId="0" fontId="1" fillId="13" borderId="33" xfId="0" applyFont="1" applyFill="1" applyBorder="1" applyAlignment="1">
      <alignment horizontal="left" vertical="center" wrapText="1"/>
    </xf>
    <xf numFmtId="0" fontId="1" fillId="13" borderId="34" xfId="0" applyFont="1" applyFill="1" applyBorder="1" applyAlignment="1">
      <alignment horizontal="left" vertical="center"/>
    </xf>
    <xf numFmtId="0" fontId="1" fillId="13" borderId="35" xfId="0" applyFont="1" applyFill="1" applyBorder="1" applyAlignment="1">
      <alignment horizontal="left" vertical="center"/>
    </xf>
    <xf numFmtId="0" fontId="1" fillId="13" borderId="36" xfId="0" applyFont="1" applyFill="1" applyBorder="1" applyAlignment="1">
      <alignment horizontal="left" vertical="center"/>
    </xf>
    <xf numFmtId="9" fontId="2" fillId="0" borderId="0" xfId="0" applyNumberFormat="1" applyFont="1" applyAlignment="1">
      <alignment horizontal="left" vertical="center"/>
    </xf>
    <xf numFmtId="0" fontId="1" fillId="10" borderId="13" xfId="0" applyFont="1" applyFill="1" applyBorder="1" applyAlignment="1">
      <alignment horizontal="center" vertical="center"/>
    </xf>
    <xf numFmtId="0" fontId="1" fillId="10" borderId="37" xfId="0" applyFont="1" applyFill="1" applyBorder="1" applyAlignment="1">
      <alignment horizontal="center" vertical="center"/>
    </xf>
    <xf numFmtId="0" fontId="1" fillId="10" borderId="37" xfId="0" applyFont="1" applyFill="1" applyBorder="1" applyAlignment="1">
      <alignment vertical="center"/>
    </xf>
    <xf numFmtId="0" fontId="1" fillId="10" borderId="38" xfId="0" applyFont="1" applyFill="1" applyBorder="1" applyAlignment="1">
      <alignment horizontal="right" vertical="center"/>
    </xf>
    <xf numFmtId="2" fontId="1" fillId="0" borderId="39" xfId="0" applyNumberFormat="1" applyFont="1" applyBorder="1" applyAlignment="1">
      <alignment horizontal="left" vertical="center" indent="1"/>
    </xf>
    <xf numFmtId="9" fontId="2" fillId="0" borderId="0" xfId="0" applyNumberFormat="1" applyFont="1"/>
    <xf numFmtId="0" fontId="1" fillId="14" borderId="39" xfId="0" applyFont="1" applyFill="1" applyBorder="1" applyAlignment="1">
      <alignment horizontal="left" vertical="top" wrapText="1"/>
    </xf>
    <xf numFmtId="0" fontId="2" fillId="14" borderId="40" xfId="0" applyFont="1" applyFill="1" applyBorder="1" applyAlignment="1">
      <alignment horizontal="left" vertical="center" wrapText="1"/>
    </xf>
    <xf numFmtId="0" fontId="2" fillId="14" borderId="31" xfId="0" applyFont="1" applyFill="1" applyBorder="1" applyAlignment="1">
      <alignment horizontal="left" vertical="center" wrapText="1"/>
    </xf>
    <xf numFmtId="0" fontId="2" fillId="14" borderId="32" xfId="0" applyFont="1" applyFill="1" applyBorder="1" applyAlignment="1">
      <alignment horizontal="left" vertical="center" wrapText="1"/>
    </xf>
    <xf numFmtId="0" fontId="2" fillId="3" borderId="41" xfId="0" applyFont="1" applyFill="1" applyBorder="1" applyAlignment="1">
      <alignment horizontal="left" vertical="center" wrapText="1"/>
    </xf>
    <xf numFmtId="0" fontId="2" fillId="3" borderId="38" xfId="0" applyFont="1" applyFill="1" applyBorder="1" applyAlignment="1" applyProtection="1">
      <alignment horizontal="left" vertical="top" wrapText="1"/>
      <protection locked="0"/>
    </xf>
    <xf numFmtId="0" fontId="2" fillId="3" borderId="37" xfId="0" applyFont="1" applyFill="1" applyBorder="1" applyAlignment="1" applyProtection="1">
      <alignment horizontal="left" vertical="top" wrapText="1"/>
      <protection locked="0"/>
    </xf>
    <xf numFmtId="0" fontId="2" fillId="3" borderId="42" xfId="0" applyFont="1" applyFill="1" applyBorder="1" applyAlignment="1" applyProtection="1">
      <alignment horizontal="left" vertical="top" wrapText="1"/>
      <protection locked="0"/>
    </xf>
    <xf numFmtId="0" fontId="1" fillId="14" borderId="43" xfId="0" applyFont="1" applyFill="1" applyBorder="1" applyAlignment="1">
      <alignment horizontal="left" vertical="top" wrapText="1"/>
    </xf>
    <xf numFmtId="0" fontId="2" fillId="3" borderId="30" xfId="0" applyFont="1" applyFill="1" applyBorder="1" applyAlignment="1" applyProtection="1">
      <alignment horizontal="left" vertical="top" wrapText="1"/>
      <protection locked="0"/>
    </xf>
    <xf numFmtId="0" fontId="2" fillId="3" borderId="0" xfId="0" applyFont="1" applyFill="1" applyAlignment="1" applyProtection="1">
      <alignment horizontal="left" vertical="top" wrapText="1"/>
      <protection locked="0"/>
    </xf>
    <xf numFmtId="0" fontId="2" fillId="3" borderId="29" xfId="0" applyFont="1" applyFill="1" applyBorder="1" applyAlignment="1" applyProtection="1">
      <alignment horizontal="left" vertical="top" wrapText="1"/>
      <protection locked="0"/>
    </xf>
    <xf numFmtId="0" fontId="2" fillId="14" borderId="13" xfId="0" applyFont="1" applyFill="1" applyBorder="1" applyAlignment="1">
      <alignment horizontal="left" vertical="center" wrapText="1"/>
    </xf>
    <xf numFmtId="0" fontId="2" fillId="14" borderId="14" xfId="0" applyFont="1" applyFill="1" applyBorder="1" applyAlignment="1">
      <alignment horizontal="left" vertical="center" wrapText="1"/>
    </xf>
    <xf numFmtId="0" fontId="2" fillId="14" borderId="15" xfId="0" applyFont="1" applyFill="1" applyBorder="1" applyAlignment="1">
      <alignment horizontal="left" vertical="center" wrapText="1"/>
    </xf>
    <xf numFmtId="0" fontId="1" fillId="14" borderId="33" xfId="0" applyFont="1" applyFill="1" applyBorder="1" applyAlignment="1">
      <alignment horizontal="left" vertical="top" wrapText="1"/>
    </xf>
    <xf numFmtId="0" fontId="2" fillId="3" borderId="34" xfId="0" applyFont="1" applyFill="1" applyBorder="1" applyAlignment="1" applyProtection="1">
      <alignment horizontal="left" vertical="top" wrapText="1"/>
      <protection locked="0"/>
    </xf>
    <xf numFmtId="0" fontId="2" fillId="3" borderId="35" xfId="0" applyFont="1" applyFill="1" applyBorder="1" applyAlignment="1" applyProtection="1">
      <alignment horizontal="left" vertical="top" wrapText="1"/>
      <protection locked="0"/>
    </xf>
    <xf numFmtId="0" fontId="2" fillId="3" borderId="36" xfId="0" applyFont="1" applyFill="1" applyBorder="1" applyAlignment="1" applyProtection="1">
      <alignment horizontal="left" vertical="top" wrapText="1"/>
      <protection locked="0"/>
    </xf>
    <xf numFmtId="0" fontId="6" fillId="15" borderId="13" xfId="0" applyFont="1" applyFill="1" applyBorder="1" applyAlignment="1">
      <alignment horizontal="left" vertical="center" wrapText="1"/>
    </xf>
    <xf numFmtId="0" fontId="6" fillId="15" borderId="14" xfId="0" applyFont="1" applyFill="1" applyBorder="1" applyAlignment="1">
      <alignment horizontal="left" vertical="center" wrapText="1"/>
    </xf>
    <xf numFmtId="0" fontId="6" fillId="15" borderId="15" xfId="0" applyFont="1" applyFill="1" applyBorder="1" applyAlignment="1">
      <alignment horizontal="left" vertical="center" wrapText="1"/>
    </xf>
    <xf numFmtId="0" fontId="2" fillId="3" borderId="13" xfId="0" applyFont="1" applyFill="1" applyBorder="1" applyAlignment="1">
      <alignment horizontal="left" vertical="center" wrapText="1"/>
    </xf>
    <xf numFmtId="0" fontId="6" fillId="15" borderId="13" xfId="0" applyFont="1" applyFill="1" applyBorder="1" applyAlignment="1">
      <alignment horizontal="left" vertical="top" wrapText="1"/>
    </xf>
    <xf numFmtId="0" fontId="6" fillId="15" borderId="14" xfId="0" applyFont="1" applyFill="1" applyBorder="1" applyAlignment="1">
      <alignment horizontal="left" vertical="top" wrapText="1"/>
    </xf>
    <xf numFmtId="0" fontId="6" fillId="15" borderId="15" xfId="0" applyFont="1" applyFill="1" applyBorder="1" applyAlignment="1">
      <alignment horizontal="left" vertical="top" wrapText="1"/>
    </xf>
    <xf numFmtId="0" fontId="2" fillId="3" borderId="44" xfId="0" applyFont="1" applyFill="1" applyBorder="1" applyAlignment="1">
      <alignment horizontal="left" vertical="center" wrapText="1"/>
    </xf>
    <xf numFmtId="0" fontId="3" fillId="16" borderId="13" xfId="0" applyFont="1" applyFill="1" applyBorder="1" applyAlignment="1">
      <alignment horizontal="center" vertical="center"/>
    </xf>
    <xf numFmtId="0" fontId="3" fillId="16" borderId="14" xfId="0" applyFont="1" applyFill="1" applyBorder="1" applyAlignment="1">
      <alignment horizontal="center" vertical="center"/>
    </xf>
    <xf numFmtId="0" fontId="3" fillId="16" borderId="14" xfId="0" applyFont="1" applyFill="1" applyBorder="1" applyAlignment="1">
      <alignment vertical="center"/>
    </xf>
    <xf numFmtId="0" fontId="3" fillId="16" borderId="13" xfId="0" applyFont="1" applyFill="1" applyBorder="1" applyAlignment="1">
      <alignment horizontal="right" vertical="center"/>
    </xf>
    <xf numFmtId="1" fontId="3" fillId="0" borderId="44" xfId="0" applyNumberFormat="1" applyFont="1" applyBorder="1" applyAlignment="1">
      <alignment horizontal="left" vertical="center" indent="1"/>
    </xf>
    <xf numFmtId="0" fontId="2" fillId="14" borderId="13" xfId="0" applyFont="1" applyFill="1" applyBorder="1" applyAlignment="1">
      <alignment horizontal="left" vertical="top" wrapText="1"/>
    </xf>
    <xf numFmtId="0" fontId="2" fillId="14" borderId="14" xfId="0" applyFont="1" applyFill="1" applyBorder="1" applyAlignment="1">
      <alignment horizontal="left" vertical="top" wrapText="1"/>
    </xf>
    <xf numFmtId="0" fontId="2" fillId="14" borderId="15" xfId="0" applyFont="1" applyFill="1" applyBorder="1" applyAlignment="1">
      <alignment horizontal="left" vertical="top" wrapText="1"/>
    </xf>
    <xf numFmtId="0" fontId="2" fillId="14" borderId="45" xfId="0" applyFont="1" applyFill="1" applyBorder="1" applyAlignment="1">
      <alignment horizontal="left" vertical="top" wrapText="1"/>
    </xf>
    <xf numFmtId="0" fontId="3" fillId="16" borderId="15" xfId="0" applyFont="1" applyFill="1" applyBorder="1" applyAlignment="1">
      <alignment horizontal="center" vertical="center"/>
    </xf>
    <xf numFmtId="0" fontId="3" fillId="14" borderId="46" xfId="0" applyFont="1" applyFill="1" applyBorder="1" applyAlignment="1">
      <alignment horizontal="left" vertical="top" wrapText="1"/>
    </xf>
    <xf numFmtId="0" fontId="2" fillId="14" borderId="47" xfId="0" applyFont="1" applyFill="1" applyBorder="1" applyAlignment="1">
      <alignment vertical="top" wrapText="1"/>
    </xf>
    <xf numFmtId="0" fontId="2" fillId="14" borderId="5" xfId="0" applyFont="1" applyFill="1" applyBorder="1" applyAlignment="1">
      <alignment vertical="top" wrapText="1"/>
    </xf>
    <xf numFmtId="0" fontId="2" fillId="3" borderId="13" xfId="0" applyFont="1" applyFill="1" applyBorder="1" applyAlignment="1" applyProtection="1">
      <alignment horizontal="left" vertical="top" wrapText="1"/>
      <protection locked="0"/>
    </xf>
    <xf numFmtId="0" fontId="2" fillId="3" borderId="14" xfId="0" applyFont="1" applyFill="1" applyBorder="1" applyAlignment="1" applyProtection="1">
      <alignment horizontal="left" vertical="top" wrapText="1"/>
      <protection locked="0"/>
    </xf>
    <xf numFmtId="0" fontId="2" fillId="3" borderId="15" xfId="0" applyFont="1" applyFill="1" applyBorder="1" applyAlignment="1" applyProtection="1">
      <alignment horizontal="left" vertical="top" wrapText="1"/>
      <protection locked="0"/>
    </xf>
    <xf numFmtId="0" fontId="3" fillId="14" borderId="13" xfId="0" applyFont="1" applyFill="1" applyBorder="1" applyAlignment="1">
      <alignment horizontal="left" vertical="center" wrapText="1"/>
    </xf>
    <xf numFmtId="0" fontId="3" fillId="14" borderId="14" xfId="0" applyFont="1" applyFill="1" applyBorder="1" applyAlignment="1">
      <alignment horizontal="left" vertical="center" wrapText="1"/>
    </xf>
    <xf numFmtId="0" fontId="3" fillId="14" borderId="15" xfId="0" applyFont="1" applyFill="1" applyBorder="1" applyAlignment="1">
      <alignment horizontal="left" vertical="center" wrapText="1"/>
    </xf>
    <xf numFmtId="0" fontId="2" fillId="3" borderId="13" xfId="0" applyFont="1" applyFill="1" applyBorder="1" applyAlignment="1">
      <alignment horizontal="left" vertical="top" wrapText="1"/>
    </xf>
    <xf numFmtId="0" fontId="2" fillId="3" borderId="14" xfId="0" applyFont="1" applyFill="1" applyBorder="1" applyAlignment="1">
      <alignment horizontal="left" vertical="top" wrapText="1"/>
    </xf>
    <xf numFmtId="0" fontId="2" fillId="3" borderId="15" xfId="0" applyFont="1" applyFill="1" applyBorder="1" applyAlignment="1">
      <alignment horizontal="left" vertical="top" wrapText="1"/>
    </xf>
    <xf numFmtId="0" fontId="2" fillId="9" borderId="0" xfId="0" applyFont="1" applyFill="1"/>
    <xf numFmtId="0" fontId="2" fillId="0" borderId="0" xfId="0" applyFont="1" applyAlignment="1">
      <alignment horizontal="left"/>
    </xf>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4.xml"/><Relationship Id="rId5" Type="http://schemas.openxmlformats.org/officeDocument/2006/relationships/worksheet" Target="worksheets/sheet2.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J7"/>
  <sheetViews>
    <sheetView workbookViewId="0" zoomScale="150" zoomScaleNormal="150">
      <selection activeCell="F3" sqref="F3"/>
    </sheetView>
  </sheetViews>
  <sheetFormatPr defaultRowHeight="16" outlineLevelRow="0" outlineLevelCol="0" x14ac:dyDescent="0.2" defaultColWidth="11" customHeight="1"/>
  <cols>
    <col min="2" max="2" width="28.5" customWidth="1"/>
    <col min="3" max="3" width="19.1640625" customWidth="1"/>
    <col min="4" max="4" width="37.83203125" customWidth="1"/>
    <col min="5" max="5" width="26.33203125" customWidth="1"/>
    <col min="6" max="6" width="31.83203125" customWidth="1"/>
    <col min="8" max="8" width="22.1640625" customWidth="1"/>
    <col min="10" max="10" width="20.5" customWidth="1"/>
  </cols>
  <sheetData>
    <row r="2" spans="2:10" x14ac:dyDescent="0.25">
      <c r="B2" s="128" t="s">
        <v>16</v>
      </c>
      <c r="C2" s="128" t="s">
        <v>84</v>
      </c>
      <c r="D2" s="128" t="s">
        <v>85</v>
      </c>
      <c r="E2" s="128" t="s">
        <v>86</v>
      </c>
      <c r="F2" s="128" t="s">
        <v>87</v>
      </c>
      <c r="G2" s="128" t="s">
        <v>88</v>
      </c>
      <c r="H2" s="128" t="s">
        <v>89</v>
      </c>
      <c r="I2" s="128" t="s">
        <v>90</v>
      </c>
      <c r="J2" s="128" t="s">
        <v>91</v>
      </c>
    </row>
    <row r="3" spans="2:10" x14ac:dyDescent="0.25">
      <c r="B3" t="s">
        <v>92</v>
      </c>
      <c r="C3" t="s">
        <v>6</v>
      </c>
      <c r="D3" t="s">
        <v>52</v>
      </c>
      <c r="E3" s="129" t="s">
        <v>93</v>
      </c>
      <c r="F3" t="s">
        <v>52</v>
      </c>
      <c r="G3">
        <v>0</v>
      </c>
      <c r="H3" t="s">
        <v>94</v>
      </c>
      <c r="I3" t="s">
        <v>95</v>
      </c>
      <c r="J3" t="s">
        <v>17</v>
      </c>
    </row>
    <row r="4" spans="2:9" x14ac:dyDescent="0.25">
      <c r="B4" t="s">
        <v>96</v>
      </c>
      <c r="C4" t="s">
        <v>97</v>
      </c>
      <c r="D4" t="s">
        <v>98</v>
      </c>
      <c r="E4" t="s">
        <v>99</v>
      </c>
      <c r="F4" t="s">
        <v>98</v>
      </c>
      <c r="G4">
        <v>0</v>
      </c>
      <c r="H4" t="s">
        <v>100</v>
      </c>
      <c r="I4" t="s">
        <v>101</v>
      </c>
    </row>
    <row r="5" spans="2:8" x14ac:dyDescent="0.25">
      <c r="B5" t="s">
        <v>21</v>
      </c>
      <c r="C5" t="s">
        <v>102</v>
      </c>
      <c r="D5" t="s">
        <v>103</v>
      </c>
      <c r="E5" t="s">
        <v>104</v>
      </c>
      <c r="F5" t="s">
        <v>50</v>
      </c>
      <c r="G5">
        <v>1</v>
      </c>
      <c r="H5" t="s">
        <v>105</v>
      </c>
    </row>
    <row r="6" spans="2:7" x14ac:dyDescent="0.25">
      <c r="B6" t="s">
        <v>106</v>
      </c>
      <c r="D6" t="s">
        <v>107</v>
      </c>
      <c r="F6" t="s">
        <v>108</v>
      </c>
      <c r="G6">
        <v>2</v>
      </c>
    </row>
    <row r="7" spans="2:7" x14ac:dyDescent="0.25">
      <c r="B7" t="s">
        <v>109</v>
      </c>
      <c r="D7" t="s">
        <v>110</v>
      </c>
      <c r="F7" t="s">
        <v>43</v>
      </c>
      <c r="G7">
        <v>3</v>
      </c>
    </row>
  </sheetData>
  <pageMargins left="0.7" right="0.7" top="0.75" bottom="0.75" header="0.3" footer="0.3"/>
  <pageSetup paperSize="9" orientation="portrait" horizontalDpi="0" verticalDpi="0"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W46"/>
  <sheetViews>
    <sheetView workbookViewId="0" zoomScale="100" zoomScaleNormal="100">
      <selection activeCell="D10" sqref="D10"/>
    </sheetView>
  </sheetViews>
  <sheetFormatPr defaultRowHeight="22" outlineLevelRow="0" outlineLevelCol="0" x14ac:dyDescent="0.2" defaultColWidth="11" customHeight="1"/>
  <cols>
    <col min="1" max="1" width="2" customWidth="1"/>
    <col min="2" max="2" width="21" customWidth="1"/>
    <col min="3" max="3" width="20.33203125" customWidth="1"/>
    <col min="4" max="4" width="2.83203125" customWidth="1"/>
    <col min="5" max="5" width="39.1640625" customWidth="1"/>
    <col min="6" max="6" width="24.1640625" customWidth="1"/>
    <col min="7" max="7" width="2.1640625" customWidth="1"/>
    <col min="8" max="8" width="24" customWidth="1"/>
    <col min="11" max="12" width="10.83203125" hidden="1" customWidth="1"/>
    <col min="13" max="13" width="11.5" hidden="1" customWidth="1"/>
    <col min="14" max="14" width="13.1640625" hidden="1" customWidth="1"/>
    <col min="15" max="21" width="10.83203125" hidden="1" customWidth="1"/>
    <col min="22" max="22" width="11.6640625" hidden="1" customWidth="1"/>
    <col min="23" max="23" width="14.1640625" hidden="1" customWidth="1"/>
  </cols>
  <sheetData>
    <row r="1" ht="11" customHeight="1" x14ac:dyDescent="0.25"/>
    <row r="2" ht="22" customHeight="1" spans="2:10" x14ac:dyDescent="0.25">
      <c r="B2" s="1" t="s">
        <v>0</v>
      </c>
      <c r="C2" s="2"/>
      <c r="D2" s="2"/>
      <c r="E2" s="2"/>
      <c r="F2" s="2"/>
      <c r="G2" s="2"/>
      <c r="H2" s="2"/>
      <c r="I2" s="2"/>
      <c r="J2" s="3"/>
    </row>
    <row r="3" ht="22" customHeight="1" spans="2:10" x14ac:dyDescent="0.25">
      <c r="B3" s="4"/>
      <c r="C3" s="5"/>
      <c r="D3" s="5"/>
      <c r="E3" s="5"/>
      <c r="F3" s="5"/>
      <c r="G3" s="5"/>
      <c r="H3" s="5"/>
      <c r="I3" s="5"/>
      <c r="J3" s="6"/>
    </row>
    <row r="4" ht="22" customHeight="1" spans="2:23" x14ac:dyDescent="0.25">
      <c r="B4" s="7" t="s">
        <v>1</v>
      </c>
      <c r="C4" s="8" t="s">
        <v>2</v>
      </c>
      <c r="D4" s="9"/>
      <c r="E4" s="10" t="s">
        <v>3</v>
      </c>
      <c r="F4" s="11" t="s">
        <v>4</v>
      </c>
      <c r="G4" s="12"/>
      <c r="H4" s="13" t="s">
        <v>5</v>
      </c>
      <c r="I4" s="8" t="s">
        <v>6</v>
      </c>
      <c r="J4" s="14"/>
      <c r="M4" s="15" t="s">
        <v>7</v>
      </c>
      <c r="N4" s="16" t="s">
        <v>8</v>
      </c>
      <c r="O4" s="16" t="s">
        <v>9</v>
      </c>
      <c r="P4" s="16" t="s">
        <v>10</v>
      </c>
      <c r="Q4" s="17" t="s">
        <v>11</v>
      </c>
      <c r="R4" s="17" t="s">
        <v>12</v>
      </c>
      <c r="S4" s="17" t="s">
        <v>13</v>
      </c>
      <c r="T4" s="17" t="s">
        <v>14</v>
      </c>
      <c r="U4" s="17" t="s">
        <v>15</v>
      </c>
      <c r="V4" s="18" t="s">
        <v>16</v>
      </c>
      <c r="W4" s="19" t="s">
        <v>17</v>
      </c>
    </row>
    <row r="5" ht="22" customHeight="1" spans="2:23" x14ac:dyDescent="0.25">
      <c r="B5" s="20" t="s">
        <v>18</v>
      </c>
      <c r="C5" s="21">
        <v>5</v>
      </c>
      <c r="D5" s="22"/>
      <c r="E5" s="23" t="s">
        <v>19</v>
      </c>
      <c r="F5" s="24">
        <v>169695</v>
      </c>
      <c r="G5" s="25"/>
      <c r="H5" s="26" t="s">
        <v>20</v>
      </c>
      <c r="I5" s="27" t="s">
        <v>21</v>
      </c>
      <c r="J5" s="28"/>
      <c r="M5" s="29" t="str">
        <f>L13</f>
        <v>SAL1</v>
      </c>
      <c r="N5" s="30" t="str">
        <f>L21</f>
        <v>SAL2</v>
      </c>
      <c r="O5" s="30" t="str">
        <f>L30</f>
        <v>-</v>
      </c>
      <c r="P5" s="30" t="str">
        <f>L37</f>
        <v>-</v>
      </c>
      <c r="Q5" s="31" t="b">
        <f>OR(M5="Rejected",N5="Rejected")</f>
        <v>0</v>
      </c>
      <c r="R5" s="31" t="b">
        <f>AND(NOT(Q5),M5="SAL2",N5&lt;&gt;"Associate")</f>
        <v>0</v>
      </c>
      <c r="S5" s="31" t="b">
        <f>AND(NOT(Q5),NOT(R5),OR(M5="SAL1",M5="SAL2"),OR(N5&lt;&gt;"Associate",AND(N5="Associate",OR(O5&lt;&gt;"-",P5&lt;&gt;"-"))))</f>
        <v>1</v>
      </c>
      <c r="T5" s="31" t="b">
        <f>AND(NOT(Q5),NOT(R5),NOT(S5),M5="Associate",N5="Associate",O5="-", P5="-")</f>
        <v>0</v>
      </c>
      <c r="U5" s="31" t="b">
        <f>AND(NOT(Q5),NOT(R5),NOT(S2),NOT(T2))</f>
        <v>1</v>
      </c>
      <c r="V5" s="32" t="str">
        <f>IF(Q5,"REJECTED",IF(R5,"Lead Experience Engineer",IF(S5,"Senior Experience Engineer",IF(T5,"Experience Engineer L1",IF(U5,"Experience Engineer L2","Thinking")))))</f>
        <v>Senior Experience Engineer</v>
      </c>
      <c r="W5" s="33" t="b">
        <f>AND(V5="SAL1",F2="Associate")</f>
        <v>0</v>
      </c>
    </row>
    <row r="6" ht="22" customHeight="1" spans="2:10" x14ac:dyDescent="0.25">
      <c r="B6" s="20" t="s">
        <v>22</v>
      </c>
      <c r="C6" s="34">
        <v>5</v>
      </c>
      <c r="D6" s="22"/>
      <c r="E6" s="35" t="s">
        <v>23</v>
      </c>
      <c r="F6" s="24"/>
      <c r="G6" s="25"/>
      <c r="H6" s="36" t="s">
        <v>24</v>
      </c>
      <c r="I6" s="24"/>
      <c r="J6" s="37"/>
    </row>
    <row r="7" ht="22" customHeight="1" spans="2:10" x14ac:dyDescent="0.25">
      <c r="B7" s="20" t="s">
        <v>25</v>
      </c>
      <c r="C7" s="24" t="s">
        <v>21</v>
      </c>
      <c r="D7" s="22"/>
      <c r="E7" s="35" t="s">
        <v>26</v>
      </c>
      <c r="F7" s="38" t="str">
        <f>V5</f>
        <v>Senior Experience Engineer</v>
      </c>
      <c r="G7" s="25"/>
      <c r="H7" s="39" t="s">
        <v>27</v>
      </c>
      <c r="I7" s="40"/>
      <c r="J7" s="41"/>
    </row>
    <row r="8" ht="22" customHeight="1" spans="2:10" x14ac:dyDescent="0.25">
      <c r="B8" s="42" t="s">
        <v>28</v>
      </c>
      <c r="C8" s="43">
        <v>46208</v>
      </c>
      <c r="D8" s="44"/>
      <c r="E8" s="45" t="s">
        <v>29</v>
      </c>
      <c r="F8" s="46" t="str">
        <f>IF(W5,"React Specialist", "No trainings required")</f>
        <v>No trainings required</v>
      </c>
      <c r="G8" s="47"/>
      <c r="H8" s="48"/>
      <c r="I8" s="49"/>
      <c r="J8" s="50"/>
    </row>
    <row r="9" ht="128" customHeight="1" spans="2:10" x14ac:dyDescent="0.25">
      <c r="B9" s="51" t="s">
        <v>30</v>
      </c>
      <c r="C9" s="52"/>
      <c r="D9" s="53" t="s">
        <v>31</v>
      </c>
      <c r="E9" s="53"/>
      <c r="F9" s="53"/>
      <c r="G9" s="53"/>
      <c r="H9" s="53"/>
      <c r="I9" s="53"/>
      <c r="J9" s="54"/>
    </row>
    <row r="10" ht="68" customHeight="1" spans="2:10" x14ac:dyDescent="0.25">
      <c r="B10" s="55" t="s">
        <v>32</v>
      </c>
      <c r="C10" s="56"/>
      <c r="D10" s="57"/>
      <c r="E10" s="57"/>
      <c r="F10" s="57"/>
      <c r="G10" s="57"/>
      <c r="H10" s="57"/>
      <c r="I10" s="57"/>
      <c r="J10" s="58"/>
    </row>
    <row r="11" ht="71" customHeight="1" spans="2:10" x14ac:dyDescent="0.25">
      <c r="B11" s="59" t="s">
        <v>33</v>
      </c>
      <c r="C11" s="60" t="s">
        <v>34</v>
      </c>
      <c r="D11" s="61" t="str">
        <f>IFERROR(VLOOKUP(C11,'React Exercise'!A1:B8,2,FALSE),"Choose the exercise from left side column")</f>
        <v>Create a React web application that consumes the https://fakestoreapi.com/carts/2 API and displays a list of products in the cart. For each product in the cart, the application should make an API call to fetch the product details using the ID returned in the cart API and display the product title, price, and image. Note: The https://fakestoreapi.com/products/:id: API returns details for a single product. You will need to make an API call for each product in the cart to fetch the product details.</v>
      </c>
      <c r="E11" s="61"/>
      <c r="F11" s="61"/>
      <c r="G11" s="61"/>
      <c r="H11" s="61"/>
      <c r="I11" s="61"/>
      <c r="J11" s="62"/>
    </row>
    <row r="12" ht="22" customHeight="1" spans="2:15" s="63" customFormat="1" x14ac:dyDescent="0.25">
      <c r="B12" s="64" t="s">
        <v>35</v>
      </c>
      <c r="C12" s="65" t="s">
        <v>36</v>
      </c>
      <c r="D12" s="66"/>
      <c r="E12" s="67"/>
      <c r="F12" s="68" t="s">
        <v>37</v>
      </c>
      <c r="G12" s="69" t="s">
        <v>38</v>
      </c>
      <c r="H12" s="70"/>
      <c r="I12" s="70"/>
      <c r="J12" s="71"/>
      <c r="N12" s="72"/>
      <c r="O12" s="72"/>
    </row>
    <row r="13" ht="40" customHeight="1" spans="2:13" x14ac:dyDescent="0.25">
      <c r="B13" s="73" t="s">
        <v>39</v>
      </c>
      <c r="C13" s="74"/>
      <c r="D13" s="74"/>
      <c r="E13" s="74"/>
      <c r="F13" s="74"/>
      <c r="G13" s="75"/>
      <c r="H13" s="75"/>
      <c r="I13" s="76" t="s">
        <v>40</v>
      </c>
      <c r="J13" s="77">
        <f>AVERAGE(K14:K20)/3*100</f>
        <v>76.19047619047619</v>
      </c>
      <c r="K13" s="78"/>
      <c r="L13" s="78" t="str">
        <f>IF(J13&lt;60, "Rejected",IF(J13&lt;70,"Associate",IF(J13&lt;80,"SAL1","SAL2")))</f>
        <v>SAL1</v>
      </c>
      <c r="M13" s="78"/>
    </row>
    <row r="14" ht="88" customHeight="1" spans="2:11" x14ac:dyDescent="0.25">
      <c r="B14" s="79" t="s">
        <v>41</v>
      </c>
      <c r="C14" s="80" t="s">
        <v>42</v>
      </c>
      <c r="D14" s="81"/>
      <c r="E14" s="82"/>
      <c r="F14" s="83" t="s">
        <v>43</v>
      </c>
      <c r="G14" s="84" t="s">
        <v>44</v>
      </c>
      <c r="H14" s="85"/>
      <c r="I14" s="85"/>
      <c r="J14" s="86"/>
      <c r="K14">
        <f>VLOOKUP(F14,Data!$F$3:$G$7,2,FALSE)</f>
        <v>3</v>
      </c>
    </row>
    <row r="15" ht="38" customHeight="1" spans="2:11" x14ac:dyDescent="0.25">
      <c r="B15" s="87"/>
      <c r="C15" s="80" t="s">
        <v>45</v>
      </c>
      <c r="D15" s="81"/>
      <c r="E15" s="82"/>
      <c r="F15" s="83" t="s">
        <v>43</v>
      </c>
      <c r="G15" s="88"/>
      <c r="H15" s="89"/>
      <c r="I15" s="89"/>
      <c r="J15" s="90"/>
      <c r="K15">
        <f>VLOOKUP(F15,Data!$F$3:$G$7,2,FALSE)</f>
        <v>3</v>
      </c>
    </row>
    <row r="16" ht="37" customHeight="1" spans="2:11" x14ac:dyDescent="0.25">
      <c r="B16" s="87"/>
      <c r="C16" s="80" t="s">
        <v>46</v>
      </c>
      <c r="D16" s="81"/>
      <c r="E16" s="82"/>
      <c r="F16" s="83" t="s">
        <v>43</v>
      </c>
      <c r="G16" s="88"/>
      <c r="H16" s="89"/>
      <c r="I16" s="89"/>
      <c r="J16" s="90"/>
      <c r="K16">
        <f>VLOOKUP(F16,Data!$F$3:$G$7,2,FALSE)</f>
        <v>3</v>
      </c>
    </row>
    <row r="17" ht="40" customHeight="1" spans="2:11" x14ac:dyDescent="0.25">
      <c r="B17" s="87"/>
      <c r="C17" s="80" t="s">
        <v>47</v>
      </c>
      <c r="D17" s="81"/>
      <c r="E17" s="82"/>
      <c r="F17" s="83" t="s">
        <v>43</v>
      </c>
      <c r="G17" s="88"/>
      <c r="H17" s="89"/>
      <c r="I17" s="89"/>
      <c r="J17" s="90"/>
      <c r="K17">
        <f>VLOOKUP(F17,Data!$F$3:$G$7,2,FALSE)</f>
        <v>3</v>
      </c>
    </row>
    <row r="18" ht="34" customHeight="1" spans="2:11" x14ac:dyDescent="0.25">
      <c r="B18" s="87"/>
      <c r="C18" s="91" t="s">
        <v>48</v>
      </c>
      <c r="D18" s="92"/>
      <c r="E18" s="93"/>
      <c r="F18" s="83" t="s">
        <v>43</v>
      </c>
      <c r="G18" s="88"/>
      <c r="H18" s="89"/>
      <c r="I18" s="89"/>
      <c r="J18" s="90"/>
      <c r="K18">
        <f>VLOOKUP(F18,Data!$F$3:$G$7,2,FALSE)</f>
        <v>3</v>
      </c>
    </row>
    <row r="19" ht="35" customHeight="1" spans="2:11" x14ac:dyDescent="0.25">
      <c r="B19" s="87"/>
      <c r="C19" s="91" t="s">
        <v>49</v>
      </c>
      <c r="D19" s="92"/>
      <c r="E19" s="93"/>
      <c r="F19" s="83" t="s">
        <v>50</v>
      </c>
      <c r="G19" s="88"/>
      <c r="H19" s="89"/>
      <c r="I19" s="89"/>
      <c r="J19" s="90"/>
      <c r="K19">
        <f>VLOOKUP(F19,Data!$F$3:$G$7,2,FALSE)</f>
        <v>1</v>
      </c>
    </row>
    <row r="20" ht="272" customHeight="1" spans="2:11" x14ac:dyDescent="0.25">
      <c r="B20" s="94"/>
      <c r="C20" s="91" t="s">
        <v>51</v>
      </c>
      <c r="D20" s="92"/>
      <c r="E20" s="93"/>
      <c r="F20" s="83" t="s">
        <v>52</v>
      </c>
      <c r="G20" s="95"/>
      <c r="H20" s="96"/>
      <c r="I20" s="96"/>
      <c r="J20" s="97"/>
      <c r="K20">
        <f>VLOOKUP(F20,Data!$F$3:$G$7,2,FALSE)</f>
        <v>0</v>
      </c>
    </row>
    <row r="21" ht="40" customHeight="1" spans="2:16" x14ac:dyDescent="0.25">
      <c r="B21" s="73"/>
      <c r="C21" s="74"/>
      <c r="D21" s="74"/>
      <c r="E21" s="74"/>
      <c r="F21" s="74"/>
      <c r="G21" s="75"/>
      <c r="H21" s="75"/>
      <c r="I21" s="76" t="s">
        <v>40</v>
      </c>
      <c r="J21" s="77">
        <f>AVERAGE(K22:K29)/3*100</f>
        <v>62.5</v>
      </c>
      <c r="K21" s="78"/>
      <c r="L21" s="78" t="str">
        <f>IF(J21&lt;25,"Rejected",IF(J21&lt;40, "Associate", IF(J21&lt;50,"SAL1","SAL2")))</f>
        <v>SAL2</v>
      </c>
      <c r="M21" s="78"/>
      <c r="N21" s="78"/>
      <c r="O21" s="78"/>
      <c r="P21" s="78"/>
    </row>
    <row r="22" ht="37" customHeight="1" spans="2:11" x14ac:dyDescent="0.25">
      <c r="B22" s="79" t="s">
        <v>53</v>
      </c>
      <c r="C22" s="98" t="s">
        <v>54</v>
      </c>
      <c r="D22" s="99"/>
      <c r="E22" s="100"/>
      <c r="F22" s="83" t="s">
        <v>50</v>
      </c>
      <c r="G22" s="84" t="s">
        <v>55</v>
      </c>
      <c r="H22" s="85"/>
      <c r="I22" s="85"/>
      <c r="J22" s="86"/>
      <c r="K22">
        <f>VLOOKUP(F22,Data!$F$3:$G$7,2,FALSE)</f>
        <v>1</v>
      </c>
    </row>
    <row r="23" ht="56" customHeight="1" spans="2:11" x14ac:dyDescent="0.25">
      <c r="B23" s="87"/>
      <c r="C23" s="98" t="s">
        <v>56</v>
      </c>
      <c r="D23" s="99"/>
      <c r="E23" s="100"/>
      <c r="F23" s="83" t="s">
        <v>50</v>
      </c>
      <c r="G23" s="88"/>
      <c r="H23" s="89"/>
      <c r="I23" s="89"/>
      <c r="J23" s="90"/>
      <c r="K23">
        <f>VLOOKUP(F23,Data!$F$3:$G$7,2,FALSE)</f>
        <v>1</v>
      </c>
    </row>
    <row r="24" ht="41" customHeight="1" spans="2:11" x14ac:dyDescent="0.25">
      <c r="B24" s="87"/>
      <c r="C24" s="98" t="s">
        <v>57</v>
      </c>
      <c r="D24" s="99"/>
      <c r="E24" s="100"/>
      <c r="F24" s="101" t="s">
        <v>43</v>
      </c>
      <c r="G24" s="88"/>
      <c r="H24" s="89"/>
      <c r="I24" s="89"/>
      <c r="J24" s="90"/>
      <c r="K24">
        <f>VLOOKUP(F24,Data!$F$3:$G$7,2,FALSE)</f>
        <v>3</v>
      </c>
    </row>
    <row r="25" ht="42" customHeight="1" spans="2:11" x14ac:dyDescent="0.25">
      <c r="B25" s="87"/>
      <c r="C25" s="102" t="s">
        <v>58</v>
      </c>
      <c r="D25" s="103"/>
      <c r="E25" s="104"/>
      <c r="F25" s="105" t="s">
        <v>43</v>
      </c>
      <c r="G25" s="88"/>
      <c r="H25" s="89"/>
      <c r="I25" s="89"/>
      <c r="J25" s="90"/>
      <c r="K25">
        <f>VLOOKUP(F25,Data!$F$3:$G$7,2,FALSE)</f>
        <v>3</v>
      </c>
    </row>
    <row r="26" ht="38" customHeight="1" spans="2:11" x14ac:dyDescent="0.25">
      <c r="B26" s="87"/>
      <c r="C26" s="102" t="s">
        <v>59</v>
      </c>
      <c r="D26" s="103"/>
      <c r="E26" s="104"/>
      <c r="F26" s="105" t="s">
        <v>43</v>
      </c>
      <c r="G26" s="88"/>
      <c r="H26" s="89"/>
      <c r="I26" s="89"/>
      <c r="J26" s="90"/>
      <c r="K26">
        <f>VLOOKUP(F26,Data!$F$3:$G$7,2,FALSE)</f>
        <v>3</v>
      </c>
    </row>
    <row r="27" ht="55" customHeight="1" spans="2:11" x14ac:dyDescent="0.25">
      <c r="B27" s="87"/>
      <c r="C27" s="102" t="s">
        <v>60</v>
      </c>
      <c r="D27" s="103"/>
      <c r="E27" s="104"/>
      <c r="F27" s="105" t="s">
        <v>52</v>
      </c>
      <c r="G27" s="88"/>
      <c r="H27" s="89"/>
      <c r="I27" s="89"/>
      <c r="J27" s="90"/>
      <c r="K27">
        <f>VLOOKUP(F27,Data!$F$3:$G$7,2,FALSE)</f>
        <v>0</v>
      </c>
    </row>
    <row r="28" ht="91" customHeight="1" spans="2:11" x14ac:dyDescent="0.25">
      <c r="B28" s="87"/>
      <c r="C28" s="102" t="s">
        <v>61</v>
      </c>
      <c r="D28" s="103"/>
      <c r="E28" s="104"/>
      <c r="F28" s="105" t="s">
        <v>50</v>
      </c>
      <c r="G28" s="88"/>
      <c r="H28" s="89"/>
      <c r="I28" s="89"/>
      <c r="J28" s="90"/>
      <c r="K28">
        <f>VLOOKUP(F28,Data!$F$3:$G$7,2,FALSE)</f>
        <v>1</v>
      </c>
    </row>
    <row r="29" ht="192" customHeight="1" spans="2:11" x14ac:dyDescent="0.25">
      <c r="B29" s="87"/>
      <c r="C29" s="102" t="s">
        <v>62</v>
      </c>
      <c r="D29" s="103"/>
      <c r="E29" s="104"/>
      <c r="F29" s="105" t="s">
        <v>43</v>
      </c>
      <c r="G29" s="95"/>
      <c r="H29" s="96"/>
      <c r="I29" s="96"/>
      <c r="J29" s="97"/>
      <c r="K29">
        <f>VLOOKUP(F29,Data!$F$3:$G$7,2,FALSE)</f>
        <v>3</v>
      </c>
    </row>
    <row r="30" ht="40" customHeight="1" spans="2:13" x14ac:dyDescent="0.25">
      <c r="B30" s="106"/>
      <c r="C30" s="107"/>
      <c r="D30" s="107"/>
      <c r="E30" s="107"/>
      <c r="F30" s="107"/>
      <c r="G30" s="108"/>
      <c r="H30" s="108"/>
      <c r="I30" s="109" t="s">
        <v>40</v>
      </c>
      <c r="J30" s="110">
        <f>AVERAGE(K31:K36)/3*100</f>
        <v>0</v>
      </c>
      <c r="K30" s="78"/>
      <c r="L30" s="78" t="str">
        <f>IF(J30&lt;5,"-",IF(J30&lt;10,"AL2","Sr Associate"))</f>
        <v>-</v>
      </c>
      <c r="M30" s="78"/>
    </row>
    <row r="31" ht="40" customHeight="1" spans="2:11" x14ac:dyDescent="0.25">
      <c r="B31" s="79" t="s">
        <v>63</v>
      </c>
      <c r="C31" s="111" t="s">
        <v>64</v>
      </c>
      <c r="D31" s="112"/>
      <c r="E31" s="113"/>
      <c r="F31" s="83" t="s">
        <v>52</v>
      </c>
      <c r="G31" s="84" t="s">
        <v>65</v>
      </c>
      <c r="H31" s="85"/>
      <c r="I31" s="85"/>
      <c r="J31" s="86"/>
      <c r="K31">
        <f>VLOOKUP(F31,Data!$D$3:$G$7,4,FALSE)</f>
        <v>0</v>
      </c>
    </row>
    <row r="32" ht="85" customHeight="1" spans="2:11" x14ac:dyDescent="0.25">
      <c r="B32" s="87"/>
      <c r="C32" s="112" t="s">
        <v>66</v>
      </c>
      <c r="D32" s="112"/>
      <c r="E32" s="113"/>
      <c r="F32" s="83" t="s">
        <v>52</v>
      </c>
      <c r="G32" s="88"/>
      <c r="H32" s="89"/>
      <c r="I32" s="89"/>
      <c r="J32" s="90"/>
      <c r="K32">
        <f>VLOOKUP(F32,Data!$D$3:$G$7,4,FALSE)</f>
        <v>0</v>
      </c>
    </row>
    <row r="33" ht="52" customHeight="1" spans="2:11" x14ac:dyDescent="0.25">
      <c r="B33" s="87"/>
      <c r="C33" s="111" t="s">
        <v>67</v>
      </c>
      <c r="D33" s="112"/>
      <c r="E33" s="113"/>
      <c r="F33" s="83" t="s">
        <v>52</v>
      </c>
      <c r="G33" s="88"/>
      <c r="H33" s="89"/>
      <c r="I33" s="89"/>
      <c r="J33" s="90"/>
      <c r="K33">
        <f>VLOOKUP(F33,Data!$D$3:$G$7,4,FALSE)</f>
        <v>0</v>
      </c>
    </row>
    <row r="34" ht="40" customHeight="1" spans="2:11" x14ac:dyDescent="0.25">
      <c r="B34" s="87"/>
      <c r="C34" s="111" t="s">
        <v>68</v>
      </c>
      <c r="D34" s="112"/>
      <c r="E34" s="113"/>
      <c r="F34" s="83" t="s">
        <v>52</v>
      </c>
      <c r="G34" s="88"/>
      <c r="H34" s="89"/>
      <c r="I34" s="89"/>
      <c r="J34" s="90"/>
      <c r="K34">
        <f>VLOOKUP(F34,Data!$D$3:$G$7,4,FALSE)</f>
        <v>0</v>
      </c>
    </row>
    <row r="35" ht="103" customHeight="1" spans="2:11" x14ac:dyDescent="0.25">
      <c r="B35" s="87"/>
      <c r="C35" s="111" t="s">
        <v>69</v>
      </c>
      <c r="D35" s="112"/>
      <c r="E35" s="113"/>
      <c r="F35" s="83" t="s">
        <v>52</v>
      </c>
      <c r="G35" s="88"/>
      <c r="H35" s="89"/>
      <c r="I35" s="89"/>
      <c r="J35" s="90"/>
      <c r="K35">
        <f>VLOOKUP(F35,Data!$D$3:$G$7,4,FALSE)</f>
        <v>0</v>
      </c>
    </row>
    <row r="36" ht="53" customHeight="1" spans="2:11" x14ac:dyDescent="0.25">
      <c r="B36" s="94"/>
      <c r="C36" s="111" t="s">
        <v>70</v>
      </c>
      <c r="D36" s="112"/>
      <c r="E36" s="113"/>
      <c r="F36" s="83" t="s">
        <v>52</v>
      </c>
      <c r="G36" s="95"/>
      <c r="H36" s="96"/>
      <c r="I36" s="96"/>
      <c r="J36" s="97"/>
      <c r="K36">
        <f>VLOOKUP(F36,Data!$D$3:$G$7,4,FALSE)</f>
        <v>0</v>
      </c>
    </row>
    <row r="37" ht="53" customHeight="1" spans="2:13" x14ac:dyDescent="0.25">
      <c r="B37" s="106"/>
      <c r="C37" s="107"/>
      <c r="D37" s="107"/>
      <c r="E37" s="107"/>
      <c r="F37" s="107"/>
      <c r="G37" s="108"/>
      <c r="H37" s="108"/>
      <c r="I37" s="109" t="s">
        <v>40</v>
      </c>
      <c r="J37" s="110">
        <f>AVERAGE(K38:K50)/3*100</f>
        <v>0</v>
      </c>
      <c r="K37" s="78"/>
      <c r="L37" s="78" t="str">
        <f>IF(J37&lt;5,"-",IF(J37&lt;10,"AL2","Sr Associate"))</f>
        <v>-</v>
      </c>
      <c r="M37" s="78"/>
    </row>
    <row r="38" ht="53" customHeight="1" spans="2:11" x14ac:dyDescent="0.25">
      <c r="B38" s="79" t="s">
        <v>71</v>
      </c>
      <c r="C38" s="111" t="s">
        <v>72</v>
      </c>
      <c r="D38" s="112"/>
      <c r="E38" s="113"/>
      <c r="F38" s="83" t="s">
        <v>52</v>
      </c>
      <c r="G38" s="84" t="s">
        <v>65</v>
      </c>
      <c r="H38" s="85"/>
      <c r="I38" s="85"/>
      <c r="J38" s="86"/>
      <c r="K38">
        <f>VLOOKUP(F38,Data!$D$3:$G$7,4,FALSE)</f>
        <v>0</v>
      </c>
    </row>
    <row r="39" ht="18" customHeight="1" spans="2:11" x14ac:dyDescent="0.25">
      <c r="B39" s="87"/>
      <c r="C39" s="111" t="s">
        <v>73</v>
      </c>
      <c r="D39" s="112"/>
      <c r="E39" s="113"/>
      <c r="F39" s="83" t="s">
        <v>52</v>
      </c>
      <c r="G39" s="88"/>
      <c r="H39" s="89"/>
      <c r="I39" s="89"/>
      <c r="J39" s="90"/>
      <c r="K39">
        <f>VLOOKUP(F39,Data!$D$3:$G$7,4,FALSE)</f>
        <v>0</v>
      </c>
    </row>
    <row r="40" ht="37" customHeight="1" spans="2:11" x14ac:dyDescent="0.25">
      <c r="B40" s="87"/>
      <c r="C40" s="111" t="s">
        <v>74</v>
      </c>
      <c r="D40" s="112"/>
      <c r="E40" s="113"/>
      <c r="F40" s="83" t="s">
        <v>52</v>
      </c>
      <c r="G40" s="88"/>
      <c r="H40" s="89"/>
      <c r="I40" s="89"/>
      <c r="J40" s="90"/>
      <c r="K40">
        <f>VLOOKUP(F40,Data!$D$3:$G$7,4,FALSE)</f>
        <v>0</v>
      </c>
    </row>
    <row r="41" ht="37" customHeight="1" spans="2:11" x14ac:dyDescent="0.25">
      <c r="B41" s="87"/>
      <c r="C41" s="111" t="s">
        <v>75</v>
      </c>
      <c r="D41" s="112"/>
      <c r="E41" s="113"/>
      <c r="F41" s="83" t="s">
        <v>52</v>
      </c>
      <c r="G41" s="88"/>
      <c r="H41" s="89"/>
      <c r="I41" s="89"/>
      <c r="J41" s="90"/>
      <c r="K41">
        <f>VLOOKUP(F41,Data!$D$3:$G$7,4,FALSE)</f>
        <v>0</v>
      </c>
    </row>
    <row r="42" ht="42" customHeight="1" spans="2:11" x14ac:dyDescent="0.25">
      <c r="B42" s="87"/>
      <c r="C42" s="111" t="s">
        <v>76</v>
      </c>
      <c r="D42" s="112"/>
      <c r="E42" s="113"/>
      <c r="F42" s="83" t="s">
        <v>52</v>
      </c>
      <c r="G42" s="88"/>
      <c r="H42" s="89"/>
      <c r="I42" s="89"/>
      <c r="J42" s="90"/>
      <c r="K42">
        <f>VLOOKUP(F42,Data!$D$3:$G$7,4,FALSE)</f>
        <v>0</v>
      </c>
    </row>
    <row r="43" ht="33" customHeight="1" spans="2:11" x14ac:dyDescent="0.25">
      <c r="B43" s="94"/>
      <c r="C43" s="114" t="s">
        <v>77</v>
      </c>
      <c r="D43" s="112"/>
      <c r="E43" s="113"/>
      <c r="F43" s="83" t="s">
        <v>52</v>
      </c>
      <c r="G43" s="95"/>
      <c r="H43" s="96"/>
      <c r="I43" s="96"/>
      <c r="J43" s="97"/>
      <c r="K43">
        <f>VLOOKUP(F43,Data!$D$3:$G$7,4,FALSE)</f>
        <v>0</v>
      </c>
    </row>
    <row r="44" ht="41" customHeight="1" spans="2:10" x14ac:dyDescent="0.25">
      <c r="B44" s="106" t="s">
        <v>78</v>
      </c>
      <c r="C44" s="107"/>
      <c r="D44" s="107"/>
      <c r="E44" s="107"/>
      <c r="F44" s="107"/>
      <c r="G44" s="107"/>
      <c r="H44" s="107"/>
      <c r="I44" s="107"/>
      <c r="J44" s="115"/>
    </row>
    <row r="45" ht="57" customHeight="1" spans="2:10" x14ac:dyDescent="0.25">
      <c r="B45" s="116" t="s">
        <v>79</v>
      </c>
      <c r="C45" s="111" t="s">
        <v>80</v>
      </c>
      <c r="D45" s="113"/>
      <c r="E45" s="117" t="s">
        <v>81</v>
      </c>
      <c r="F45" s="118" t="s">
        <v>82</v>
      </c>
      <c r="G45" s="119"/>
      <c r="H45" s="120"/>
      <c r="I45" s="120"/>
      <c r="J45" s="121"/>
    </row>
    <row r="46" ht="22" customHeight="1" spans="2:10" x14ac:dyDescent="0.25">
      <c r="B46" s="122" t="s">
        <v>83</v>
      </c>
      <c r="C46" s="123"/>
      <c r="D46" s="123"/>
      <c r="E46" s="123"/>
      <c r="F46" s="124"/>
      <c r="G46" s="125"/>
      <c r="H46" s="126"/>
      <c r="I46" s="126"/>
      <c r="J46" s="127"/>
    </row>
  </sheetData>
  <mergeCells count="59">
    <mergeCell ref="B2:J3"/>
    <mergeCell ref="I4:J4"/>
    <mergeCell ref="D4:D8"/>
    <mergeCell ref="G4:G8"/>
    <mergeCell ref="I5:J5"/>
    <mergeCell ref="I6:J6"/>
    <mergeCell ref="I7:J8"/>
    <mergeCell ref="H7:H8"/>
    <mergeCell ref="B9:C9"/>
    <mergeCell ref="D9:J9"/>
    <mergeCell ref="B10:C10"/>
    <mergeCell ref="D10:J10"/>
    <mergeCell ref="D11:J11"/>
    <mergeCell ref="C12:E12"/>
    <mergeCell ref="G12:J12"/>
    <mergeCell ref="B13:F13"/>
    <mergeCell ref="C14:E14"/>
    <mergeCell ref="G14:J20"/>
    <mergeCell ref="B14:B20"/>
    <mergeCell ref="C15:E15"/>
    <mergeCell ref="C16:E16"/>
    <mergeCell ref="C17:E17"/>
    <mergeCell ref="C18:E18"/>
    <mergeCell ref="C19:E19"/>
    <mergeCell ref="C20:E20"/>
    <mergeCell ref="B21:F21"/>
    <mergeCell ref="C22:E22"/>
    <mergeCell ref="G22:J29"/>
    <mergeCell ref="B22:B29"/>
    <mergeCell ref="C23:E23"/>
    <mergeCell ref="C24:E24"/>
    <mergeCell ref="C25:E25"/>
    <mergeCell ref="C26:E26"/>
    <mergeCell ref="C27:E27"/>
    <mergeCell ref="C28:E28"/>
    <mergeCell ref="C29:E29"/>
    <mergeCell ref="B30:F30"/>
    <mergeCell ref="C31:E31"/>
    <mergeCell ref="G31:J36"/>
    <mergeCell ref="B31:B36"/>
    <mergeCell ref="C32:E32"/>
    <mergeCell ref="C33:E33"/>
    <mergeCell ref="C34:E34"/>
    <mergeCell ref="C35:E35"/>
    <mergeCell ref="C36:E36"/>
    <mergeCell ref="B37:F37"/>
    <mergeCell ref="C38:E38"/>
    <mergeCell ref="G38:J43"/>
    <mergeCell ref="B38:B43"/>
    <mergeCell ref="C39:E39"/>
    <mergeCell ref="C40:E40"/>
    <mergeCell ref="C41:E41"/>
    <mergeCell ref="C42:E42"/>
    <mergeCell ref="C43:E43"/>
    <mergeCell ref="B44:J44"/>
    <mergeCell ref="C45:D45"/>
    <mergeCell ref="G45:J45"/>
    <mergeCell ref="B46:F46"/>
    <mergeCell ref="G46:J46"/>
  </mergeCells>
  <conditionalFormatting sqref="F7">
    <cfRule type="cellIs" dxfId="0" priority="1" operator="equal">
      <formula>"REJECTED"</formula>
    </cfRule>
  </conditionalFormatting>
  <conditionalFormatting sqref="F8">
    <cfRule type="iconSet" priority="5">
      <iconSet iconSet="3Symbols2">
        <cfvo type="percent" val="0"/>
        <cfvo type="num" val="3"/>
        <cfvo type="num" val="5"/>
      </iconSet>
    </cfRule>
  </conditionalFormatting>
  <dataValidations count="11">
    <dataValidation type="list" allowBlank="1" showInputMessage="1" showErrorMessage="1" sqref="C11">
      <formula1>React_Exercise</formula1>
    </dataValidation>
    <dataValidation type="list" allowBlank="1" showInputMessage="1" showErrorMessage="1" sqref="C7">
      <formula1>Career_Stage</formula1>
    </dataValidation>
    <dataValidation type="list" allowBlank="1" showInputMessage="1" showErrorMessage="1" sqref="F14:F20">
      <formula1>Scoring_Development</formula1>
    </dataValidation>
    <dataValidation type="list" allowBlank="1" showInputMessage="1" showErrorMessage="1" sqref="F22:F29">
      <formula1>Scoring_Development</formula1>
    </dataValidation>
    <dataValidation type="list" allowBlank="1" showInputMessage="1" showErrorMessage="1" sqref="F31:F36">
      <formula1>Scoring_Architecture</formula1>
    </dataValidation>
    <dataValidation type="list" allowBlank="1" showInputMessage="1" showErrorMessage="1" sqref="F38:F43">
      <formula1>Scoring_Architecture</formula1>
    </dataValidation>
    <dataValidation type="list" allowBlank="1" showInputMessage="1" showErrorMessage="1" sqref="G46:J46">
      <formula1>Will_You_Take_Person</formula1>
    </dataValidation>
    <dataValidation type="list" allowBlank="1" showInputMessage="1" showErrorMessage="1" sqref="I4:J4">
      <formula1>Interview_Outcome</formula1>
    </dataValidation>
    <dataValidation type="list" allowBlank="1" showInputMessage="1" showErrorMessage="1" sqref="I5:J5">
      <formula1>Career_Stage</formula1>
    </dataValidation>
    <dataValidation type="list" allowBlank="1" showInputMessage="1" showErrorMessage="1" sqref="I6:J6">
      <formula1>Rejection_Reason</formula1>
    </dataValidation>
    <dataValidation type="list" allowBlank="1" showInputMessage="1" showErrorMessage="1" sqref="I7:J8">
      <formula1>React_Training_Sections</formula1>
    </dataValidation>
  </dataValidations>
  <pageMargins left="0.7" right="0.7" top="0.75" bottom="0.75" header="0.3" footer="0.3"/>
  <pageSetup paperSize="9" orientation="portrait" horizontalDpi="0" verticalDpi="0"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2 - Python Backend</vt:lpstr>
      <vt:lpstr>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dc:title/>
  <dc:subject/>
  <dc:description/>
  <cp:keywords/>
  <cp:category/>
  <cp:lastModifiedBy>Siddhartha Chatterjee</cp:lastModifiedBy>
  <cp:contentStatus/>
  <dcterms:created xsi:type="dcterms:W3CDTF">2023-01-12T09:52:17Z</dcterms:created>
  <dcterms:modified xsi:type="dcterms:W3CDTF">2026-05-07T06:43:30Z</dcterms:modified>
</cp:coreProperties>
</file>