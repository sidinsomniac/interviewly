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4" name="2 - Node Backend" state="visible" r:id="rId4"/>
    <sheet sheetId="2" name="Data" state="hidden" r:id="rId5"/>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<sst xmlns="http://schemas.openxmlformats.org/spreadsheetml/2006/main" count="149" uniqueCount="111">
  <si>
    <t>Experience Engineering Hiring Probe Form [If in doubt REJECT the candidate]</t>
  </si>
  <si>
    <t>Candidate Name:</t>
  </si>
  <si>
    <t>Gurnoor Kaur</t>
  </si>
  <si>
    <t>Interviewer Name:</t>
  </si>
  <si>
    <t>Siddhartha Chatterjee</t>
  </si>
  <si>
    <t xml:space="preserve">Interview Outcome: </t>
  </si>
  <si>
    <t>Selected</t>
  </si>
  <si>
    <t>React Basics</t>
  </si>
  <si>
    <t>React Advance</t>
  </si>
  <si>
    <t>Node</t>
  </si>
  <si>
    <t>GraphQL</t>
  </si>
  <si>
    <t>isRejected</t>
  </si>
  <si>
    <t>isSAL2</t>
  </si>
  <si>
    <t>isSAL1</t>
  </si>
  <si>
    <t>isAL1</t>
  </si>
  <si>
    <t>isAL2</t>
  </si>
  <si>
    <t>Career Stage</t>
  </si>
  <si>
    <t>React Specialist</t>
  </si>
  <si>
    <t>Total years of exp.:</t>
  </si>
  <si>
    <t xml:space="preserve">Interviewer OID: </t>
  </si>
  <si>
    <t>Selected for Level:</t>
  </si>
  <si>
    <t>Senior Experience Engineer</t>
  </si>
  <si>
    <t>Relevant years of exp.:</t>
  </si>
  <si>
    <t>(Rev)Shadow Name:</t>
  </si>
  <si>
    <t>Rejection Reason:</t>
  </si>
  <si>
    <t>Interviewed for:</t>
  </si>
  <si>
    <t>Recommended Title</t>
  </si>
  <si>
    <t>Sections to be trained on:</t>
  </si>
  <si>
    <t>Evaluation Date:</t>
  </si>
  <si>
    <t>Recommended Training</t>
  </si>
  <si>
    <t>Domain Feedback Summary &amp; Key Highlights:</t>
  </si>
  <si>
    <t xml:space="preserve">Gurnoor demonstrated consistent hands-on strength across both foundational and advanced React concepts. She confidently handled the preliminary exercise and branching discussions, showing solid understanding of hooks, component structuring, state management, and rendering optimization. Her approach to forms, asynchronous flows, and nested implementations was practical and well-organized.
She independently completed the Shopping Cart exercise and showed good awareness of performance considerations, memoization, and scalable state management patterns using Context and Redux Toolkit. Overall, Gurnoor displayed the level of practical understanding and problem-solving expected from a senior React developer.</t>
  </si>
  <si>
    <t>Teachable Skill Gap Details:</t>
  </si>
  <si>
    <t>Choose hands-on exercise</t>
  </si>
  <si>
    <t>Shopping Cart</t>
  </si>
  <si>
    <t>Skill</t>
  </si>
  <si>
    <t>Areas To Be Probed / Competency Definition</t>
  </si>
  <si>
    <t>Evaluated Proficiency Level</t>
  </si>
  <si>
    <t>Feedback Details</t>
  </si>
  <si>
    <r>
      <t xml:space="preserve">React Basics </t>
    </r>
    <r>
      <rPr>
        <b/>
        <color rgb="FFFF0000"/>
        <sz val="12"/>
        <rFont val="Calibri (Body)"/>
      </rPr>
      <t>(Cover maximum listed topics as hands-on coding exercise)</t>
    </r>
  </si>
  <si>
    <t xml:space="preserve">AVG %age SCORE: </t>
  </si>
  <si>
    <t>Runtime &amp; Event Loop</t>
  </si>
  <si>
    <t>Event Loop — microtasks vs macrotasks order</t>
  </si>
  <si>
    <t>Confident hands on developer</t>
  </si>
  <si>
    <t xml:space="preserve">&gt; Gurnoor was able to successfully complete the preliminary exercise and all corresponding branching questions.
&gt; Nonetheless she has good practical knowledge, demonstrates strong grasp of useEffect, useState, useRef, useContext, useReducer, useLayoutEffefct, optimizing component structure and re-renders, along with memoization hooks.
&gt; Manages form submission, event binding, AJAX calls, and validation with a structured, practical approach.
&gt; She writes structured components as well.</t>
  </si>
  <si>
    <t>Worker Threads — shared memory vs message passing</t>
  </si>
  <si>
    <t>Streams — backpressure handling with highWaterMark</t>
  </si>
  <si>
    <t>Node 20 Test Runner — describe/it vs Jest migration</t>
  </si>
  <si>
    <t>ESM vs CJS — interop and package.json exports</t>
  </si>
  <si>
    <t>Error Handling — async error propagation and unhandledRejection</t>
  </si>
  <si>
    <t>Able to explain concepts theoritically</t>
  </si>
  <si>
    <t>Cluster vs Worker Threads — scaling strategies</t>
  </si>
  <si>
    <t>Did not probe</t>
  </si>
  <si>
    <t>Frameworks &amp; API Design</t>
  </si>
  <si>
    <t>Fastify — schema-based validation and serialization</t>
  </si>
  <si>
    <t xml:space="preserve">&gt; Gurnoor was able to successfully demonstrate fundamental and advanced knowledge and had completed the Shopping Cart exercise with no guidance.
&gt; She displayed knowledge in asyncronicity and data sequencing, as well as nested implementations.
&gt; Understands global state management, optimizing performance and reducing prop drilling efficiently using useContext hooks and Redux toolkit..
&gt; Differentiates useMemo and useCallback, optimizing renders and preventing unnecessary computations.
&gt; Overall has sufficient knowledge for a senior developer when it comes to React.</t>
  </si>
  <si>
    <t>NestJS — dependency injection and module scoping</t>
  </si>
  <si>
    <t>Express — middleware error handling and async wrappers</t>
  </si>
  <si>
    <t>Zod — schema composition and discriminated unions</t>
  </si>
  <si>
    <t>GraphQL — DataLoader batching and caching</t>
  </si>
  <si>
    <t>Microservice Patterns — saga vs CQRS tradeoffs</t>
  </si>
  <si>
    <t>OpenTelemetry — trace propagation and span context</t>
  </si>
  <si>
    <t>API Versioning — header vs URI vs content negotiation</t>
  </si>
  <si>
    <t>Data &amp; Messaging</t>
  </si>
  <si>
    <t>Prisma — relation queries and N+1 prevention</t>
  </si>
  <si>
    <t xml:space="preserve">Provide details of areas probed along with names of technologies used. </t>
  </si>
  <si>
    <t>TypeORM — query builder vs find options performance</t>
  </si>
  <si>
    <t>BullMQ — job lifecycle and rate limiting</t>
  </si>
  <si>
    <t>Redis — pub/sub vs streams for message queues</t>
  </si>
  <si>
    <t>Database Migrations — rollback strategies and zero-downtime</t>
  </si>
  <si>
    <t>Caching — Redis TTL and cache invalidation patterns</t>
  </si>
  <si>
    <t>Tooling &amp; Observability</t>
  </si>
  <si>
    <t>pnpm — workspace protocol and dependency hoisting</t>
  </si>
  <si>
    <t>Vitest — mocking and coverage with c8</t>
  </si>
  <si>
    <t>Docker — multi-stage builds and layer caching</t>
  </si>
  <si>
    <t>Node 20 — native fetch and undici</t>
  </si>
  <si>
    <t>Logging — structured logging and correlation IDs</t>
  </si>
  <si>
    <t>Health Checks — readiness vs liveness probes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</si>
  <si>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</si>
  <si>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</si>
  <si>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</si>
  <si>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</si>
  <si>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</si>
  <si>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</si>
  <si>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Interview Outcome</t>
  </si>
  <si>
    <t>Scoring Architecture</t>
  </si>
  <si>
    <t>Rejection Reason</t>
  </si>
  <si>
    <t>Scoring Development</t>
  </si>
  <si>
    <t>Scoring Score</t>
  </si>
  <si>
    <t>Core XT Training Sections</t>
  </si>
  <si>
    <t>Will You Take Person</t>
  </si>
  <si>
    <t>React Training Sections</t>
  </si>
  <si>
    <t>Experience Engineer L1</t>
  </si>
  <si>
    <t>Lacked Fundamentals</t>
  </si>
  <si>
    <t>HTML/CSS</t>
  </si>
  <si>
    <t>Yes</t>
  </si>
  <si>
    <t>Experience Engineer L2</t>
  </si>
  <si>
    <t>Rejected</t>
  </si>
  <si>
    <t>No Experience</t>
  </si>
  <si>
    <t>No Hands on Experience</t>
  </si>
  <si>
    <t>NFR</t>
  </si>
  <si>
    <t>No</t>
  </si>
  <si>
    <t>Needs Another Round</t>
  </si>
  <si>
    <t xml:space="preserve">Awareness of concepts </t>
  </si>
  <si>
    <t>Gaps in multiple categories</t>
  </si>
  <si>
    <t>HTML/CSS &amp; NFR</t>
  </si>
  <si>
    <t>Lead Experience Engineer</t>
  </si>
  <si>
    <t xml:space="preserve">Able to explain concepts in depth  </t>
  </si>
  <si>
    <t>Able to code with guidance</t>
  </si>
  <si>
    <t>Manager Experience Engineering</t>
  </si>
  <si>
    <t xml:space="preserve">Confident with decision making &amp; hands 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</si>
</sst>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indexed="64"/>
      </patternFill>
    </fill>
    <fill>
      <patternFill patternType="solid">
        <fgColor theme="0" tint="-0.1499984740745262"/>
        <bgColor rgb="FF000000"/>
      </patternFill>
    </fill>
    <fill>
      <patternFill patternType="solid">
        <fgColor rgb="FFA9D08E"/>
        <bgColor rgb="FF000000"/>
      </patternFill>
    </fill>
  </fills>
  <borders count="48">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style="medium">
        <color indexed="64"/>
      </bottom>
      <diagonal/>
    </border>
    <border>
      <left style="thin"/>
      <right/>
      <top/>
      <bottom/>
      <diagonal/>
    </border>
    <border>
      <left/>
      <right style="medium">
        <color indexed="64"/>
      </right>
      <top/>
      <bottom/>
      <diagonal/>
    </border>
    <border>
      <left style="medium">
        <color indexed="64"/>
      </left>
      <right/>
      <top/>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s>
  <cellStyleXfs count="1">
    <xf numFmtId="0" fontId="0" fillId="0" borderId="0"/>
  </cellStyleXfs>
  <cellXfs count="130">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1" fillId="6" borderId="14" xfId="0" applyFont="1" applyFill="1" applyBorder="1"/>
    <xf numFmtId="0" fontId="1" fillId="7" borderId="13" xfId="0" applyFont="1" applyFill="1" applyBorder="1"/>
    <xf numFmtId="0" fontId="1" fillId="7"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8"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3" xfId="0" applyNumberFormat="1" applyFont="1" applyFill="1" applyBorder="1"/>
    <xf numFmtId="9" fontId="2" fillId="5" borderId="14" xfId="0" applyNumberFormat="1" applyFont="1" applyFill="1" applyBorder="1"/>
    <xf numFmtId="0" fontId="2" fillId="6" borderId="14" xfId="0" applyFont="1" applyFill="1" applyBorder="1"/>
    <xf numFmtId="0" fontId="2" fillId="7" borderId="13" xfId="0" applyFont="1" applyFill="1" applyBorder="1"/>
    <xf numFmtId="0" fontId="2" fillId="7"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9" borderId="17" xfId="0" applyFont="1" applyFill="1" applyBorder="1" applyAlignment="1">
      <alignment vertical="center"/>
    </xf>
    <xf numFmtId="0" fontId="3" fillId="8"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9"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8"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0" borderId="13" xfId="0" applyFont="1" applyFill="1" applyBorder="1" applyAlignment="1">
      <alignment horizontal="left" vertical="center" wrapText="1"/>
    </xf>
    <xf numFmtId="0" fontId="4" fillId="10" borderId="14" xfId="0" applyFont="1" applyFill="1" applyBorder="1" applyAlignment="1">
      <alignment horizontal="left" vertical="center" wrapText="1"/>
    </xf>
    <xf numFmtId="0" fontId="4" fillId="10" borderId="14" xfId="0" applyFont="1" applyFill="1" applyBorder="1" applyAlignment="1" applyProtection="1">
      <alignment horizontal="left" vertical="top" wrapText="1"/>
      <protection locked="0"/>
    </xf>
    <xf numFmtId="0" fontId="4" fillId="10" borderId="15" xfId="0" applyFont="1" applyFill="1" applyBorder="1" applyAlignment="1" applyProtection="1">
      <alignment horizontal="left" vertical="top" wrapText="1"/>
      <protection locked="0"/>
    </xf>
    <xf numFmtId="0" fontId="5" fillId="11" borderId="30" xfId="0" applyFont="1" applyFill="1" applyBorder="1" applyAlignment="1">
      <alignment horizontal="left" vertical="center" wrapText="1"/>
    </xf>
    <xf numFmtId="0" fontId="5" fillId="11" borderId="0" xfId="0" applyFont="1" applyFill="1" applyAlignment="1">
      <alignment horizontal="left" vertical="center" wrapText="1"/>
    </xf>
    <xf numFmtId="0" fontId="5" fillId="11" borderId="0" xfId="0" applyFont="1" applyFill="1" applyAlignment="1" applyProtection="1">
      <alignment horizontal="left" vertical="top" wrapText="1"/>
      <protection locked="0"/>
    </xf>
    <xf numFmtId="0" fontId="5" fillId="11" borderId="29" xfId="0" applyFont="1" applyFill="1" applyBorder="1" applyAlignment="1" applyProtection="1">
      <alignment horizontal="left" vertical="top" wrapText="1"/>
      <protection locked="0"/>
    </xf>
    <xf numFmtId="0" fontId="1" fillId="9" borderId="13" xfId="0" applyFont="1" applyFill="1" applyBorder="1" applyAlignment="1">
      <alignment vertical="center" wrapText="1"/>
    </xf>
    <xf numFmtId="0" fontId="1" fillId="12" borderId="31" xfId="0" applyFont="1" applyFill="1" applyBorder="1" applyAlignment="1" applyProtection="1">
      <alignment vertical="center" wrapText="1"/>
      <protection locked="0"/>
    </xf>
    <xf numFmtId="0" fontId="2" fillId="12" borderId="31" xfId="0" applyFont="1" applyFill="1" applyBorder="1" applyAlignment="1">
      <alignment horizontal="left" vertical="top" wrapText="1"/>
    </xf>
    <xf numFmtId="0" fontId="2" fillId="12" borderId="32" xfId="0" applyFont="1" applyFill="1" applyBorder="1" applyAlignment="1">
      <alignment horizontal="left" vertical="top" wrapText="1"/>
    </xf>
    <xf numFmtId="0" fontId="2" fillId="0" borderId="0" xfId="0" applyFont="1" applyAlignment="1">
      <alignment horizontal="left" vertical="center"/>
    </xf>
    <xf numFmtId="0" fontId="1" fillId="13" borderId="33" xfId="0" applyFont="1" applyFill="1" applyBorder="1" applyAlignment="1">
      <alignment horizontal="left" vertical="center"/>
    </xf>
    <xf numFmtId="0" fontId="1" fillId="13" borderId="34" xfId="0" applyFont="1" applyFill="1" applyBorder="1" applyAlignment="1">
      <alignment horizontal="left" vertical="center" wrapText="1"/>
    </xf>
    <xf numFmtId="0" fontId="1" fillId="13" borderId="35" xfId="0" applyFont="1" applyFill="1" applyBorder="1" applyAlignment="1">
      <alignment horizontal="left" vertical="center" wrapText="1"/>
    </xf>
    <xf numFmtId="0" fontId="1" fillId="13" borderId="36" xfId="0" applyFont="1" applyFill="1" applyBorder="1" applyAlignment="1">
      <alignment horizontal="left" vertical="center" wrapText="1"/>
    </xf>
    <xf numFmtId="0" fontId="1" fillId="13" borderId="33" xfId="0" applyFont="1" applyFill="1" applyBorder="1" applyAlignment="1">
      <alignment horizontal="left" vertical="center" wrapText="1"/>
    </xf>
    <xf numFmtId="0" fontId="1" fillId="13" borderId="34" xfId="0" applyFont="1" applyFill="1" applyBorder="1" applyAlignment="1">
      <alignment horizontal="left" vertical="center"/>
    </xf>
    <xf numFmtId="0" fontId="1" fillId="13" borderId="35" xfId="0" applyFont="1" applyFill="1" applyBorder="1" applyAlignment="1">
      <alignment horizontal="left" vertical="center"/>
    </xf>
    <xf numFmtId="0" fontId="1" fillId="13" borderId="36" xfId="0" applyFont="1" applyFill="1" applyBorder="1" applyAlignment="1">
      <alignment horizontal="left" vertical="center"/>
    </xf>
    <xf numFmtId="9" fontId="2" fillId="0" borderId="0" xfId="0" applyNumberFormat="1" applyFont="1" applyAlignment="1">
      <alignment horizontal="left" vertical="center"/>
    </xf>
    <xf numFmtId="0" fontId="1" fillId="10" borderId="13" xfId="0" applyFont="1" applyFill="1" applyBorder="1" applyAlignment="1">
      <alignment horizontal="center" vertical="center"/>
    </xf>
    <xf numFmtId="0" fontId="1" fillId="10" borderId="37" xfId="0" applyFont="1" applyFill="1" applyBorder="1" applyAlignment="1">
      <alignment horizontal="center" vertical="center"/>
    </xf>
    <xf numFmtId="0" fontId="1" fillId="10" borderId="37" xfId="0" applyFont="1" applyFill="1" applyBorder="1" applyAlignment="1">
      <alignment vertical="center"/>
    </xf>
    <xf numFmtId="0" fontId="1" fillId="10"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14" borderId="39" xfId="0" applyFont="1" applyFill="1" applyBorder="1" applyAlignment="1">
      <alignment horizontal="left" vertical="top" wrapText="1"/>
    </xf>
    <xf numFmtId="0" fontId="2" fillId="14" borderId="40" xfId="0" applyFont="1" applyFill="1" applyBorder="1" applyAlignment="1">
      <alignment horizontal="left" vertical="center" wrapText="1"/>
    </xf>
    <xf numFmtId="0" fontId="2" fillId="14" borderId="31" xfId="0" applyFont="1" applyFill="1" applyBorder="1" applyAlignment="1">
      <alignment horizontal="left" vertical="center" wrapText="1"/>
    </xf>
    <xf numFmtId="0" fontId="2" fillId="14" borderId="32" xfId="0" applyFont="1" applyFill="1" applyBorder="1" applyAlignment="1">
      <alignment horizontal="left" vertical="center" wrapText="1"/>
    </xf>
    <xf numFmtId="0" fontId="2" fillId="3" borderId="41" xfId="0" applyFont="1" applyFill="1" applyBorder="1" applyAlignment="1">
      <alignment horizontal="left" vertical="center" wrapText="1"/>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14" borderId="43" xfId="0" applyFont="1" applyFill="1" applyBorder="1" applyAlignment="1">
      <alignment horizontal="left" vertical="top" wrapText="1"/>
    </xf>
    <xf numFmtId="0" fontId="2" fillId="3" borderId="30"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14" borderId="13" xfId="0" applyFont="1" applyFill="1" applyBorder="1" applyAlignment="1">
      <alignment horizontal="left" vertical="center" wrapText="1"/>
    </xf>
    <xf numFmtId="0" fontId="2" fillId="14" borderId="14" xfId="0" applyFont="1" applyFill="1" applyBorder="1" applyAlignment="1">
      <alignment horizontal="left" vertical="center" wrapText="1"/>
    </xf>
    <xf numFmtId="0" fontId="2" fillId="14" borderId="15" xfId="0" applyFont="1" applyFill="1" applyBorder="1" applyAlignment="1">
      <alignment horizontal="left" vertical="center" wrapText="1"/>
    </xf>
    <xf numFmtId="0" fontId="1" fillId="14" borderId="33" xfId="0" applyFont="1" applyFill="1" applyBorder="1" applyAlignment="1">
      <alignment horizontal="left" vertical="top" wrapText="1"/>
    </xf>
    <xf numFmtId="0" fontId="2" fillId="3" borderId="34" xfId="0" applyFont="1" applyFill="1" applyBorder="1" applyAlignment="1" applyProtection="1">
      <alignment horizontal="left" vertical="top" wrapText="1"/>
      <protection locked="0"/>
    </xf>
    <xf numFmtId="0" fontId="2" fillId="3" borderId="35" xfId="0" applyFont="1" applyFill="1" applyBorder="1" applyAlignment="1" applyProtection="1">
      <alignment horizontal="left" vertical="top" wrapText="1"/>
      <protection locked="0"/>
    </xf>
    <xf numFmtId="0" fontId="2" fillId="3" borderId="36" xfId="0" applyFont="1" applyFill="1" applyBorder="1" applyAlignment="1" applyProtection="1">
      <alignment horizontal="left" vertical="top" wrapText="1"/>
      <protection locked="0"/>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44" xfId="0" applyFont="1" applyFill="1" applyBorder="1" applyAlignment="1">
      <alignment horizontal="left" vertical="center"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44" xfId="0" applyNumberFormat="1" applyFont="1" applyBorder="1" applyAlignment="1">
      <alignment horizontal="left" vertical="center" indent="1"/>
    </xf>
    <xf numFmtId="0" fontId="2" fillId="14" borderId="13" xfId="0" applyFont="1" applyFill="1" applyBorder="1" applyAlignment="1">
      <alignment horizontal="left" vertical="top" wrapText="1"/>
    </xf>
    <xf numFmtId="0" fontId="2" fillId="14" borderId="14" xfId="0" applyFont="1" applyFill="1" applyBorder="1" applyAlignment="1">
      <alignment horizontal="left" vertical="top" wrapText="1"/>
    </xf>
    <xf numFmtId="0" fontId="2" fillId="14" borderId="15" xfId="0" applyFont="1" applyFill="1" applyBorder="1" applyAlignment="1">
      <alignment horizontal="left" vertical="top" wrapText="1"/>
    </xf>
    <xf numFmtId="0" fontId="2" fillId="14" borderId="45" xfId="0" applyFont="1" applyFill="1" applyBorder="1" applyAlignment="1">
      <alignment horizontal="left" vertical="top" wrapText="1"/>
    </xf>
    <xf numFmtId="0" fontId="3" fillId="16" borderId="15" xfId="0" applyFont="1" applyFill="1" applyBorder="1" applyAlignment="1">
      <alignment horizontal="center" vertical="center"/>
    </xf>
    <xf numFmtId="0" fontId="3" fillId="14" borderId="46" xfId="0" applyFont="1" applyFill="1" applyBorder="1" applyAlignment="1">
      <alignment horizontal="left" vertical="top" wrapText="1"/>
    </xf>
    <xf numFmtId="0" fontId="2" fillId="14" borderId="47" xfId="0" applyFont="1" applyFill="1" applyBorder="1" applyAlignment="1">
      <alignment vertical="top" wrapText="1"/>
    </xf>
    <xf numFmtId="0" fontId="2" fillId="14" borderId="5" xfId="0" applyFont="1" applyFill="1" applyBorder="1" applyAlignment="1">
      <alignmen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3" fillId="14" borderId="13" xfId="0" applyFont="1" applyFill="1" applyBorder="1" applyAlignment="1">
      <alignment horizontal="left" vertical="center" wrapText="1"/>
    </xf>
    <xf numFmtId="0" fontId="3" fillId="14" borderId="14" xfId="0" applyFont="1" applyFill="1" applyBorder="1" applyAlignment="1">
      <alignment horizontal="left" vertical="center" wrapText="1"/>
    </xf>
    <xf numFmtId="0" fontId="3" fillId="14" borderId="15"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9" borderId="0" xfId="0" applyFont="1" applyFill="1"/>
    <xf numFmtId="0" fontId="2" fillId="0" borderId="0" xfId="0" applyFont="1"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28" t="s">
        <v>16</v>
      </c>
      <c r="C2" s="128" t="s">
        <v>84</v>
      </c>
      <c r="D2" s="128" t="s">
        <v>85</v>
      </c>
      <c r="E2" s="128" t="s">
        <v>86</v>
      </c>
      <c r="F2" s="128" t="s">
        <v>87</v>
      </c>
      <c r="G2" s="128" t="s">
        <v>88</v>
      </c>
      <c r="H2" s="128" t="s">
        <v>89</v>
      </c>
      <c r="I2" s="128" t="s">
        <v>90</v>
      </c>
      <c r="J2" s="128" t="s">
        <v>91</v>
      </c>
    </row>
    <row r="3" spans="2:10" x14ac:dyDescent="0.25">
      <c r="B3" t="s">
        <v>92</v>
      </c>
      <c r="C3" t="s">
        <v>6</v>
      </c>
      <c r="D3" t="s">
        <v>52</v>
      </c>
      <c r="E3" s="129" t="s">
        <v>93</v>
      </c>
      <c r="F3" t="s">
        <v>52</v>
      </c>
      <c r="G3">
        <v>0</v>
      </c>
      <c r="H3" t="s">
        <v>94</v>
      </c>
      <c r="I3" t="s">
        <v>95</v>
      </c>
      <c r="J3" t="s">
        <v>17</v>
      </c>
    </row>
    <row r="4" spans="2:9" x14ac:dyDescent="0.25">
      <c r="B4" t="s">
        <v>96</v>
      </c>
      <c r="C4" t="s">
        <v>97</v>
      </c>
      <c r="D4" t="s">
        <v>98</v>
      </c>
      <c r="E4" t="s">
        <v>99</v>
      </c>
      <c r="F4" t="s">
        <v>98</v>
      </c>
      <c r="G4">
        <v>0</v>
      </c>
      <c r="H4" t="s">
        <v>100</v>
      </c>
      <c r="I4" t="s">
        <v>101</v>
      </c>
    </row>
    <row r="5" spans="2:8" x14ac:dyDescent="0.25">
      <c r="B5" t="s">
        <v>21</v>
      </c>
      <c r="C5" t="s">
        <v>102</v>
      </c>
      <c r="D5" t="s">
        <v>103</v>
      </c>
      <c r="E5" t="s">
        <v>104</v>
      </c>
      <c r="F5" t="s">
        <v>50</v>
      </c>
      <c r="G5">
        <v>1</v>
      </c>
      <c r="H5" t="s">
        <v>105</v>
      </c>
    </row>
    <row r="6" spans="2:7" x14ac:dyDescent="0.25">
      <c r="B6" t="s">
        <v>106</v>
      </c>
      <c r="D6" t="s">
        <v>107</v>
      </c>
      <c r="F6" t="s">
        <v>108</v>
      </c>
      <c r="G6">
        <v>2</v>
      </c>
    </row>
    <row r="7" spans="2:7" x14ac:dyDescent="0.25">
      <c r="B7" t="s">
        <v>109</v>
      </c>
      <c r="D7" t="s">
        <v>110</v>
      </c>
      <c r="F7" t="s">
        <v>43</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2</v>
      </c>
      <c r="D4" s="9"/>
      <c r="E4" s="10" t="s">
        <v>3</v>
      </c>
      <c r="F4" s="11" t="s">
        <v>4</v>
      </c>
      <c r="G4" s="12"/>
      <c r="H4" s="13" t="s">
        <v>5</v>
      </c>
      <c r="I4" s="8" t="s">
        <v>6</v>
      </c>
      <c r="J4" s="14"/>
      <c r="M4" s="15" t="s">
        <v>7</v>
      </c>
      <c r="N4" s="16" t="s">
        <v>8</v>
      </c>
      <c r="O4" s="16" t="s">
        <v>9</v>
      </c>
      <c r="P4" s="16" t="s">
        <v>10</v>
      </c>
      <c r="Q4" s="17" t="s">
        <v>11</v>
      </c>
      <c r="R4" s="17" t="s">
        <v>12</v>
      </c>
      <c r="S4" s="17" t="s">
        <v>13</v>
      </c>
      <c r="T4" s="17" t="s">
        <v>14</v>
      </c>
      <c r="U4" s="17" t="s">
        <v>15</v>
      </c>
      <c r="V4" s="18" t="s">
        <v>16</v>
      </c>
      <c r="W4" s="19" t="s">
        <v>17</v>
      </c>
    </row>
    <row r="5" ht="22" customHeight="1" spans="2:23" x14ac:dyDescent="0.25">
      <c r="B5" s="20" t="s">
        <v>18</v>
      </c>
      <c r="C5" s="21">
        <v>5</v>
      </c>
      <c r="D5" s="22"/>
      <c r="E5" s="23" t="s">
        <v>19</v>
      </c>
      <c r="F5" s="24">
        <v>169695</v>
      </c>
      <c r="G5" s="25"/>
      <c r="H5" s="26" t="s">
        <v>20</v>
      </c>
      <c r="I5" s="27" t="s">
        <v>21</v>
      </c>
      <c r="J5" s="28"/>
      <c r="M5" s="29" t="str">
        <f>L13</f>
        <v>SAL1</v>
      </c>
      <c r="N5" s="30" t="str">
        <f>L21</f>
        <v>SAL2</v>
      </c>
      <c r="O5" s="30" t="str">
        <f>L30</f>
        <v>-</v>
      </c>
      <c r="P5" s="30" t="str">
        <f>L37</f>
        <v>-</v>
      </c>
      <c r="Q5" s="31" t="b">
        <f>OR(M5="Rejected",N5="Rejected")</f>
        <v>0</v>
      </c>
      <c r="R5" s="31" t="b">
        <f>AND(NOT(Q5),M5="SAL2",N5&lt;&gt;"Associate")</f>
        <v>0</v>
      </c>
      <c r="S5" s="31" t="b">
        <f>AND(NOT(Q5),NOT(R5),OR(M5="SAL1",M5="SAL2"),OR(N5&lt;&gt;"Associate",AND(N5="Associate",OR(O5&lt;&gt;"-",P5&lt;&gt;"-"))))</f>
        <v>1</v>
      </c>
      <c r="T5" s="31" t="b">
        <f>AND(NOT(Q5),NOT(R5),NOT(S5),M5="Associate",N5="Associate",O5="-", P5="-")</f>
        <v>0</v>
      </c>
      <c r="U5" s="31" t="b">
        <f>AND(NOT(Q5),NOT(R5),NOT(S2),NOT(T2))</f>
        <v>1</v>
      </c>
      <c r="V5" s="32" t="str">
        <f>IF(Q5,"REJECTED",IF(R5,"Lead Experience Engineer",IF(S5,"Senior Experience Engineer",IF(T5,"Experience Engineer L1",IF(U5,"Experience Engineer L2","Thinking")))))</f>
        <v>Senior Experience Engineer</v>
      </c>
      <c r="W5" s="33" t="b">
        <f>AND(V5="SAL1",F2="Associate")</f>
        <v>0</v>
      </c>
    </row>
    <row r="6" ht="22" customHeight="1" spans="2:10" x14ac:dyDescent="0.25">
      <c r="B6" s="20" t="s">
        <v>22</v>
      </c>
      <c r="C6" s="34">
        <v>5</v>
      </c>
      <c r="D6" s="22"/>
      <c r="E6" s="35" t="s">
        <v>23</v>
      </c>
      <c r="F6" s="24"/>
      <c r="G6" s="25"/>
      <c r="H6" s="36" t="s">
        <v>24</v>
      </c>
      <c r="I6" s="24"/>
      <c r="J6" s="37"/>
    </row>
    <row r="7" ht="22" customHeight="1" spans="2:10" x14ac:dyDescent="0.25">
      <c r="B7" s="20" t="s">
        <v>25</v>
      </c>
      <c r="C7" s="24" t="s">
        <v>21</v>
      </c>
      <c r="D7" s="22"/>
      <c r="E7" s="35" t="s">
        <v>26</v>
      </c>
      <c r="F7" s="38" t="str">
        <f>V5</f>
        <v>Senior Experience Engineer</v>
      </c>
      <c r="G7" s="25"/>
      <c r="H7" s="39" t="s">
        <v>27</v>
      </c>
      <c r="I7" s="40"/>
      <c r="J7" s="41"/>
    </row>
    <row r="8" ht="22" customHeight="1" spans="2:10" x14ac:dyDescent="0.25">
      <c r="B8" s="42" t="s">
        <v>28</v>
      </c>
      <c r="C8" s="43">
        <v>46208</v>
      </c>
      <c r="D8" s="44"/>
      <c r="E8" s="45" t="s">
        <v>29</v>
      </c>
      <c r="F8" s="46" t="str">
        <f>IF(W5,"React Specialist", "No trainings required")</f>
        <v>No trainings required</v>
      </c>
      <c r="G8" s="47"/>
      <c r="H8" s="48"/>
      <c r="I8" s="49"/>
      <c r="J8" s="50"/>
    </row>
    <row r="9" ht="128" customHeight="1" spans="2:10" x14ac:dyDescent="0.25">
      <c r="B9" s="51" t="s">
        <v>30</v>
      </c>
      <c r="C9" s="52"/>
      <c r="D9" s="53" t="s">
        <v>31</v>
      </c>
      <c r="E9" s="53"/>
      <c r="F9" s="53"/>
      <c r="G9" s="53"/>
      <c r="H9" s="53"/>
      <c r="I9" s="53"/>
      <c r="J9" s="54"/>
    </row>
    <row r="10" ht="68" customHeight="1" spans="2:10" x14ac:dyDescent="0.25">
      <c r="B10" s="55" t="s">
        <v>32</v>
      </c>
      <c r="C10" s="56"/>
      <c r="D10" s="57"/>
      <c r="E10" s="57"/>
      <c r="F10" s="57"/>
      <c r="G10" s="57"/>
      <c r="H10" s="57"/>
      <c r="I10" s="57"/>
      <c r="J10" s="58"/>
    </row>
    <row r="11" ht="71" customHeight="1" spans="2:10" x14ac:dyDescent="0.25">
      <c r="B11" s="59" t="s">
        <v>33</v>
      </c>
      <c r="C11" s="60" t="s">
        <v>34</v>
      </c>
      <c r="D11" s="61"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61"/>
      <c r="F11" s="61"/>
      <c r="G11" s="61"/>
      <c r="H11" s="61"/>
      <c r="I11" s="61"/>
      <c r="J11" s="62"/>
    </row>
    <row r="12" ht="22" customHeight="1" spans="2:15" s="63" customFormat="1" x14ac:dyDescent="0.25">
      <c r="B12" s="64" t="s">
        <v>35</v>
      </c>
      <c r="C12" s="65" t="s">
        <v>36</v>
      </c>
      <c r="D12" s="66"/>
      <c r="E12" s="67"/>
      <c r="F12" s="68" t="s">
        <v>37</v>
      </c>
      <c r="G12" s="69" t="s">
        <v>38</v>
      </c>
      <c r="H12" s="70"/>
      <c r="I12" s="70"/>
      <c r="J12" s="71"/>
      <c r="N12" s="72"/>
      <c r="O12" s="72"/>
    </row>
    <row r="13" ht="40" customHeight="1" spans="2:13" x14ac:dyDescent="0.25">
      <c r="B13" s="73" t="s">
        <v>39</v>
      </c>
      <c r="C13" s="74"/>
      <c r="D13" s="74"/>
      <c r="E13" s="74"/>
      <c r="F13" s="74"/>
      <c r="G13" s="75"/>
      <c r="H13" s="75"/>
      <c r="I13" s="76" t="s">
        <v>40</v>
      </c>
      <c r="J13" s="77">
        <f>AVERAGE(K14:K20)/3*100</f>
        <v>76.19047619047619</v>
      </c>
      <c r="K13" s="78"/>
      <c r="L13" s="78" t="str">
        <f>IF(J13&lt;60, "Rejected",IF(J13&lt;70,"Associate",IF(J13&lt;80,"SAL1","SAL2")))</f>
        <v>SAL1</v>
      </c>
      <c r="M13" s="78"/>
    </row>
    <row r="14" ht="88" customHeight="1" spans="2:11" x14ac:dyDescent="0.25">
      <c r="B14" s="79" t="s">
        <v>41</v>
      </c>
      <c r="C14" s="80" t="s">
        <v>42</v>
      </c>
      <c r="D14" s="81"/>
      <c r="E14" s="82"/>
      <c r="F14" s="83" t="s">
        <v>43</v>
      </c>
      <c r="G14" s="84" t="s">
        <v>44</v>
      </c>
      <c r="H14" s="85"/>
      <c r="I14" s="85"/>
      <c r="J14" s="86"/>
      <c r="K14">
        <f>VLOOKUP(F14,Data!$F$3:$G$7,2,FALSE)</f>
        <v>3</v>
      </c>
    </row>
    <row r="15" ht="38" customHeight="1" spans="2:11" x14ac:dyDescent="0.25">
      <c r="B15" s="87"/>
      <c r="C15" s="80" t="s">
        <v>45</v>
      </c>
      <c r="D15" s="81"/>
      <c r="E15" s="82"/>
      <c r="F15" s="83" t="s">
        <v>43</v>
      </c>
      <c r="G15" s="88"/>
      <c r="H15" s="89"/>
      <c r="I15" s="89"/>
      <c r="J15" s="90"/>
      <c r="K15">
        <f>VLOOKUP(F15,Data!$F$3:$G$7,2,FALSE)</f>
        <v>3</v>
      </c>
    </row>
    <row r="16" ht="37" customHeight="1" spans="2:11" x14ac:dyDescent="0.25">
      <c r="B16" s="87"/>
      <c r="C16" s="80" t="s">
        <v>46</v>
      </c>
      <c r="D16" s="81"/>
      <c r="E16" s="82"/>
      <c r="F16" s="83" t="s">
        <v>43</v>
      </c>
      <c r="G16" s="88"/>
      <c r="H16" s="89"/>
      <c r="I16" s="89"/>
      <c r="J16" s="90"/>
      <c r="K16">
        <f>VLOOKUP(F16,Data!$F$3:$G$7,2,FALSE)</f>
        <v>3</v>
      </c>
    </row>
    <row r="17" ht="40" customHeight="1" spans="2:11" x14ac:dyDescent="0.25">
      <c r="B17" s="87"/>
      <c r="C17" s="80" t="s">
        <v>47</v>
      </c>
      <c r="D17" s="81"/>
      <c r="E17" s="82"/>
      <c r="F17" s="83" t="s">
        <v>43</v>
      </c>
      <c r="G17" s="88"/>
      <c r="H17" s="89"/>
      <c r="I17" s="89"/>
      <c r="J17" s="90"/>
      <c r="K17">
        <f>VLOOKUP(F17,Data!$F$3:$G$7,2,FALSE)</f>
        <v>3</v>
      </c>
    </row>
    <row r="18" ht="34" customHeight="1" spans="2:11" x14ac:dyDescent="0.25">
      <c r="B18" s="87"/>
      <c r="C18" s="91" t="s">
        <v>48</v>
      </c>
      <c r="D18" s="92"/>
      <c r="E18" s="93"/>
      <c r="F18" s="83" t="s">
        <v>43</v>
      </c>
      <c r="G18" s="88"/>
      <c r="H18" s="89"/>
      <c r="I18" s="89"/>
      <c r="J18" s="90"/>
      <c r="K18">
        <f>VLOOKUP(F18,Data!$F$3:$G$7,2,FALSE)</f>
        <v>3</v>
      </c>
    </row>
    <row r="19" ht="35" customHeight="1" spans="2:11" x14ac:dyDescent="0.25">
      <c r="B19" s="87"/>
      <c r="C19" s="91" t="s">
        <v>49</v>
      </c>
      <c r="D19" s="92"/>
      <c r="E19" s="93"/>
      <c r="F19" s="83" t="s">
        <v>50</v>
      </c>
      <c r="G19" s="88"/>
      <c r="H19" s="89"/>
      <c r="I19" s="89"/>
      <c r="J19" s="90"/>
      <c r="K19">
        <f>VLOOKUP(F19,Data!$F$3:$G$7,2,FALSE)</f>
        <v>1</v>
      </c>
    </row>
    <row r="20" ht="272" customHeight="1" spans="2:11" x14ac:dyDescent="0.25">
      <c r="B20" s="94"/>
      <c r="C20" s="91" t="s">
        <v>51</v>
      </c>
      <c r="D20" s="92"/>
      <c r="E20" s="93"/>
      <c r="F20" s="83" t="s">
        <v>52</v>
      </c>
      <c r="G20" s="95"/>
      <c r="H20" s="96"/>
      <c r="I20" s="96"/>
      <c r="J20" s="97"/>
      <c r="K20">
        <f>VLOOKUP(F20,Data!$F$3:$G$7,2,FALSE)</f>
        <v>0</v>
      </c>
    </row>
    <row r="21" ht="40" customHeight="1" spans="2:16" x14ac:dyDescent="0.25">
      <c r="B21" s="73"/>
      <c r="C21" s="74"/>
      <c r="D21" s="74"/>
      <c r="E21" s="74"/>
      <c r="F21" s="74"/>
      <c r="G21" s="75"/>
      <c r="H21" s="75"/>
      <c r="I21" s="76" t="s">
        <v>40</v>
      </c>
      <c r="J21" s="77">
        <f>AVERAGE(K22:K29)/3*100</f>
        <v>62.5</v>
      </c>
      <c r="K21" s="78"/>
      <c r="L21" s="78" t="str">
        <f>IF(J21&lt;25,"Rejected",IF(J21&lt;40, "Associate", IF(J21&lt;50,"SAL1","SAL2")))</f>
        <v>SAL2</v>
      </c>
      <c r="M21" s="78"/>
      <c r="N21" s="78"/>
      <c r="O21" s="78"/>
      <c r="P21" s="78"/>
    </row>
    <row r="22" ht="37" customHeight="1" spans="2:11" x14ac:dyDescent="0.25">
      <c r="B22" s="79" t="s">
        <v>53</v>
      </c>
      <c r="C22" s="98" t="s">
        <v>54</v>
      </c>
      <c r="D22" s="99"/>
      <c r="E22" s="100"/>
      <c r="F22" s="83" t="s">
        <v>50</v>
      </c>
      <c r="G22" s="84" t="s">
        <v>55</v>
      </c>
      <c r="H22" s="85"/>
      <c r="I22" s="85"/>
      <c r="J22" s="86"/>
      <c r="K22">
        <f>VLOOKUP(F22,Data!$F$3:$G$7,2,FALSE)</f>
        <v>1</v>
      </c>
    </row>
    <row r="23" ht="56" customHeight="1" spans="2:11" x14ac:dyDescent="0.25">
      <c r="B23" s="87"/>
      <c r="C23" s="98" t="s">
        <v>56</v>
      </c>
      <c r="D23" s="99"/>
      <c r="E23" s="100"/>
      <c r="F23" s="83" t="s">
        <v>50</v>
      </c>
      <c r="G23" s="88"/>
      <c r="H23" s="89"/>
      <c r="I23" s="89"/>
      <c r="J23" s="90"/>
      <c r="K23">
        <f>VLOOKUP(F23,Data!$F$3:$G$7,2,FALSE)</f>
        <v>1</v>
      </c>
    </row>
    <row r="24" ht="41" customHeight="1" spans="2:11" x14ac:dyDescent="0.25">
      <c r="B24" s="87"/>
      <c r="C24" s="98" t="s">
        <v>57</v>
      </c>
      <c r="D24" s="99"/>
      <c r="E24" s="100"/>
      <c r="F24" s="101" t="s">
        <v>43</v>
      </c>
      <c r="G24" s="88"/>
      <c r="H24" s="89"/>
      <c r="I24" s="89"/>
      <c r="J24" s="90"/>
      <c r="K24">
        <f>VLOOKUP(F24,Data!$F$3:$G$7,2,FALSE)</f>
        <v>3</v>
      </c>
    </row>
    <row r="25" ht="42" customHeight="1" spans="2:11" x14ac:dyDescent="0.25">
      <c r="B25" s="87"/>
      <c r="C25" s="102" t="s">
        <v>58</v>
      </c>
      <c r="D25" s="103"/>
      <c r="E25" s="104"/>
      <c r="F25" s="105" t="s">
        <v>43</v>
      </c>
      <c r="G25" s="88"/>
      <c r="H25" s="89"/>
      <c r="I25" s="89"/>
      <c r="J25" s="90"/>
      <c r="K25">
        <f>VLOOKUP(F25,Data!$F$3:$G$7,2,FALSE)</f>
        <v>3</v>
      </c>
    </row>
    <row r="26" ht="38" customHeight="1" spans="2:11" x14ac:dyDescent="0.25">
      <c r="B26" s="87"/>
      <c r="C26" s="102" t="s">
        <v>59</v>
      </c>
      <c r="D26" s="103"/>
      <c r="E26" s="104"/>
      <c r="F26" s="105" t="s">
        <v>43</v>
      </c>
      <c r="G26" s="88"/>
      <c r="H26" s="89"/>
      <c r="I26" s="89"/>
      <c r="J26" s="90"/>
      <c r="K26">
        <f>VLOOKUP(F26,Data!$F$3:$G$7,2,FALSE)</f>
        <v>3</v>
      </c>
    </row>
    <row r="27" ht="55" customHeight="1" spans="2:11" x14ac:dyDescent="0.25">
      <c r="B27" s="87"/>
      <c r="C27" s="102" t="s">
        <v>60</v>
      </c>
      <c r="D27" s="103"/>
      <c r="E27" s="104"/>
      <c r="F27" s="105" t="s">
        <v>52</v>
      </c>
      <c r="G27" s="88"/>
      <c r="H27" s="89"/>
      <c r="I27" s="89"/>
      <c r="J27" s="90"/>
      <c r="K27">
        <f>VLOOKUP(F27,Data!$F$3:$G$7,2,FALSE)</f>
        <v>0</v>
      </c>
    </row>
    <row r="28" ht="91" customHeight="1" spans="2:11" x14ac:dyDescent="0.25">
      <c r="B28" s="87"/>
      <c r="C28" s="102" t="s">
        <v>61</v>
      </c>
      <c r="D28" s="103"/>
      <c r="E28" s="104"/>
      <c r="F28" s="105" t="s">
        <v>50</v>
      </c>
      <c r="G28" s="88"/>
      <c r="H28" s="89"/>
      <c r="I28" s="89"/>
      <c r="J28" s="90"/>
      <c r="K28">
        <f>VLOOKUP(F28,Data!$F$3:$G$7,2,FALSE)</f>
        <v>1</v>
      </c>
    </row>
    <row r="29" ht="192" customHeight="1" spans="2:11" x14ac:dyDescent="0.25">
      <c r="B29" s="87"/>
      <c r="C29" s="102" t="s">
        <v>62</v>
      </c>
      <c r="D29" s="103"/>
      <c r="E29" s="104"/>
      <c r="F29" s="105" t="s">
        <v>43</v>
      </c>
      <c r="G29" s="95"/>
      <c r="H29" s="96"/>
      <c r="I29" s="96"/>
      <c r="J29" s="97"/>
      <c r="K29">
        <f>VLOOKUP(F29,Data!$F$3:$G$7,2,FALSE)</f>
        <v>3</v>
      </c>
    </row>
    <row r="30" ht="40" customHeight="1" spans="2:13" x14ac:dyDescent="0.25">
      <c r="B30" s="106"/>
      <c r="C30" s="107"/>
      <c r="D30" s="107"/>
      <c r="E30" s="107"/>
      <c r="F30" s="107"/>
      <c r="G30" s="108"/>
      <c r="H30" s="108"/>
      <c r="I30" s="109" t="s">
        <v>40</v>
      </c>
      <c r="J30" s="110">
        <f>AVERAGE(K31:K36)/3*100</f>
        <v>0</v>
      </c>
      <c r="K30" s="78"/>
      <c r="L30" s="78" t="str">
        <f>IF(J30&lt;5,"-",IF(J30&lt;10,"AL2","Sr Associate"))</f>
        <v>-</v>
      </c>
      <c r="M30" s="78"/>
    </row>
    <row r="31" ht="40" customHeight="1" spans="2:11" x14ac:dyDescent="0.25">
      <c r="B31" s="79" t="s">
        <v>63</v>
      </c>
      <c r="C31" s="111" t="s">
        <v>64</v>
      </c>
      <c r="D31" s="112"/>
      <c r="E31" s="113"/>
      <c r="F31" s="83" t="s">
        <v>52</v>
      </c>
      <c r="G31" s="84" t="s">
        <v>65</v>
      </c>
      <c r="H31" s="85"/>
      <c r="I31" s="85"/>
      <c r="J31" s="86"/>
      <c r="K31">
        <f>VLOOKUP(F31,Data!$D$3:$G$7,4,FALSE)</f>
        <v>0</v>
      </c>
    </row>
    <row r="32" ht="85" customHeight="1" spans="2:11" x14ac:dyDescent="0.25">
      <c r="B32" s="87"/>
      <c r="C32" s="112" t="s">
        <v>66</v>
      </c>
      <c r="D32" s="112"/>
      <c r="E32" s="113"/>
      <c r="F32" s="83" t="s">
        <v>52</v>
      </c>
      <c r="G32" s="88"/>
      <c r="H32" s="89"/>
      <c r="I32" s="89"/>
      <c r="J32" s="90"/>
      <c r="K32">
        <f>VLOOKUP(F32,Data!$D$3:$G$7,4,FALSE)</f>
        <v>0</v>
      </c>
    </row>
    <row r="33" ht="52" customHeight="1" spans="2:11" x14ac:dyDescent="0.25">
      <c r="B33" s="87"/>
      <c r="C33" s="111" t="s">
        <v>67</v>
      </c>
      <c r="D33" s="112"/>
      <c r="E33" s="113"/>
      <c r="F33" s="83" t="s">
        <v>52</v>
      </c>
      <c r="G33" s="88"/>
      <c r="H33" s="89"/>
      <c r="I33" s="89"/>
      <c r="J33" s="90"/>
      <c r="K33">
        <f>VLOOKUP(F33,Data!$D$3:$G$7,4,FALSE)</f>
        <v>0</v>
      </c>
    </row>
    <row r="34" ht="40" customHeight="1" spans="2:11" x14ac:dyDescent="0.25">
      <c r="B34" s="87"/>
      <c r="C34" s="111" t="s">
        <v>68</v>
      </c>
      <c r="D34" s="112"/>
      <c r="E34" s="113"/>
      <c r="F34" s="83" t="s">
        <v>52</v>
      </c>
      <c r="G34" s="88"/>
      <c r="H34" s="89"/>
      <c r="I34" s="89"/>
      <c r="J34" s="90"/>
      <c r="K34">
        <f>VLOOKUP(F34,Data!$D$3:$G$7,4,FALSE)</f>
        <v>0</v>
      </c>
    </row>
    <row r="35" ht="103" customHeight="1" spans="2:11" x14ac:dyDescent="0.25">
      <c r="B35" s="87"/>
      <c r="C35" s="111" t="s">
        <v>69</v>
      </c>
      <c r="D35" s="112"/>
      <c r="E35" s="113"/>
      <c r="F35" s="83" t="s">
        <v>52</v>
      </c>
      <c r="G35" s="88"/>
      <c r="H35" s="89"/>
      <c r="I35" s="89"/>
      <c r="J35" s="90"/>
      <c r="K35">
        <f>VLOOKUP(F35,Data!$D$3:$G$7,4,FALSE)</f>
        <v>0</v>
      </c>
    </row>
    <row r="36" ht="53" customHeight="1" spans="2:11" x14ac:dyDescent="0.25">
      <c r="B36" s="94"/>
      <c r="C36" s="111" t="s">
        <v>70</v>
      </c>
      <c r="D36" s="112"/>
      <c r="E36" s="113"/>
      <c r="F36" s="83" t="s">
        <v>52</v>
      </c>
      <c r="G36" s="95"/>
      <c r="H36" s="96"/>
      <c r="I36" s="96"/>
      <c r="J36" s="97"/>
      <c r="K36">
        <f>VLOOKUP(F36,Data!$D$3:$G$7,4,FALSE)</f>
        <v>0</v>
      </c>
    </row>
    <row r="37" ht="53" customHeight="1" spans="2:13" x14ac:dyDescent="0.25">
      <c r="B37" s="106"/>
      <c r="C37" s="107"/>
      <c r="D37" s="107"/>
      <c r="E37" s="107"/>
      <c r="F37" s="107"/>
      <c r="G37" s="108"/>
      <c r="H37" s="108"/>
      <c r="I37" s="109" t="s">
        <v>40</v>
      </c>
      <c r="J37" s="110">
        <f>AVERAGE(K38:K50)/3*100</f>
        <v>0</v>
      </c>
      <c r="K37" s="78"/>
      <c r="L37" s="78" t="str">
        <f>IF(J37&lt;5,"-",IF(J37&lt;10,"AL2","Sr Associate"))</f>
        <v>-</v>
      </c>
      <c r="M37" s="78"/>
    </row>
    <row r="38" ht="53" customHeight="1" spans="2:11" x14ac:dyDescent="0.25">
      <c r="B38" s="79" t="s">
        <v>71</v>
      </c>
      <c r="C38" s="111" t="s">
        <v>72</v>
      </c>
      <c r="D38" s="112"/>
      <c r="E38" s="113"/>
      <c r="F38" s="83" t="s">
        <v>52</v>
      </c>
      <c r="G38" s="84" t="s">
        <v>65</v>
      </c>
      <c r="H38" s="85"/>
      <c r="I38" s="85"/>
      <c r="J38" s="86"/>
      <c r="K38">
        <f>VLOOKUP(F38,Data!$D$3:$G$7,4,FALSE)</f>
        <v>0</v>
      </c>
    </row>
    <row r="39" ht="18" customHeight="1" spans="2:11" x14ac:dyDescent="0.25">
      <c r="B39" s="87"/>
      <c r="C39" s="111" t="s">
        <v>73</v>
      </c>
      <c r="D39" s="112"/>
      <c r="E39" s="113"/>
      <c r="F39" s="83" t="s">
        <v>52</v>
      </c>
      <c r="G39" s="88"/>
      <c r="H39" s="89"/>
      <c r="I39" s="89"/>
      <c r="J39" s="90"/>
      <c r="K39">
        <f>VLOOKUP(F39,Data!$D$3:$G$7,4,FALSE)</f>
        <v>0</v>
      </c>
    </row>
    <row r="40" ht="37" customHeight="1" spans="2:11" x14ac:dyDescent="0.25">
      <c r="B40" s="87"/>
      <c r="C40" s="111" t="s">
        <v>74</v>
      </c>
      <c r="D40" s="112"/>
      <c r="E40" s="113"/>
      <c r="F40" s="83" t="s">
        <v>52</v>
      </c>
      <c r="G40" s="88"/>
      <c r="H40" s="89"/>
      <c r="I40" s="89"/>
      <c r="J40" s="90"/>
      <c r="K40">
        <f>VLOOKUP(F40,Data!$D$3:$G$7,4,FALSE)</f>
        <v>0</v>
      </c>
    </row>
    <row r="41" ht="37" customHeight="1" spans="2:11" x14ac:dyDescent="0.25">
      <c r="B41" s="87"/>
      <c r="C41" s="111" t="s">
        <v>75</v>
      </c>
      <c r="D41" s="112"/>
      <c r="E41" s="113"/>
      <c r="F41" s="83" t="s">
        <v>52</v>
      </c>
      <c r="G41" s="88"/>
      <c r="H41" s="89"/>
      <c r="I41" s="89"/>
      <c r="J41" s="90"/>
      <c r="K41">
        <f>VLOOKUP(F41,Data!$D$3:$G$7,4,FALSE)</f>
        <v>0</v>
      </c>
    </row>
    <row r="42" ht="42" customHeight="1" spans="2:11" x14ac:dyDescent="0.25">
      <c r="B42" s="87"/>
      <c r="C42" s="111" t="s">
        <v>76</v>
      </c>
      <c r="D42" s="112"/>
      <c r="E42" s="113"/>
      <c r="F42" s="83" t="s">
        <v>52</v>
      </c>
      <c r="G42" s="88"/>
      <c r="H42" s="89"/>
      <c r="I42" s="89"/>
      <c r="J42" s="90"/>
      <c r="K42">
        <f>VLOOKUP(F42,Data!$D$3:$G$7,4,FALSE)</f>
        <v>0</v>
      </c>
    </row>
    <row r="43" ht="33" customHeight="1" spans="2:11" x14ac:dyDescent="0.25">
      <c r="B43" s="94"/>
      <c r="C43" s="114" t="s">
        <v>77</v>
      </c>
      <c r="D43" s="112"/>
      <c r="E43" s="113"/>
      <c r="F43" s="83" t="s">
        <v>52</v>
      </c>
      <c r="G43" s="95"/>
      <c r="H43" s="96"/>
      <c r="I43" s="96"/>
      <c r="J43" s="97"/>
      <c r="K43">
        <f>VLOOKUP(F43,Data!$D$3:$G$7,4,FALSE)</f>
        <v>0</v>
      </c>
    </row>
    <row r="44" ht="41" customHeight="1" spans="2:10" x14ac:dyDescent="0.25">
      <c r="B44" s="106" t="s">
        <v>78</v>
      </c>
      <c r="C44" s="107"/>
      <c r="D44" s="107"/>
      <c r="E44" s="107"/>
      <c r="F44" s="107"/>
      <c r="G44" s="107"/>
      <c r="H44" s="107"/>
      <c r="I44" s="107"/>
      <c r="J44" s="115"/>
    </row>
    <row r="45" ht="57" customHeight="1" spans="2:10" x14ac:dyDescent="0.25">
      <c r="B45" s="116" t="s">
        <v>79</v>
      </c>
      <c r="C45" s="111" t="s">
        <v>80</v>
      </c>
      <c r="D45" s="113"/>
      <c r="E45" s="117" t="s">
        <v>81</v>
      </c>
      <c r="F45" s="118" t="s">
        <v>82</v>
      </c>
      <c r="G45" s="119"/>
      <c r="H45" s="120"/>
      <c r="I45" s="120"/>
      <c r="J45" s="121"/>
    </row>
    <row r="46" ht="22" customHeight="1" spans="2:10" x14ac:dyDescent="0.25">
      <c r="B46" s="122" t="s">
        <v>83</v>
      </c>
      <c r="C46" s="123"/>
      <c r="D46" s="123"/>
      <c r="E46" s="123"/>
      <c r="F46" s="124"/>
      <c r="G46" s="125"/>
      <c r="H46" s="126"/>
      <c r="I46" s="126"/>
      <c r="J46" s="127"/>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0"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2 - Node Backend</vt: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